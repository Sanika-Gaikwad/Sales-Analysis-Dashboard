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5.xml" ContentType="application/vnd.openxmlformats-officedocument.spreadsheetml.table+xml"/>
  <Override PartName="/xl/pivotTables/pivotTable1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sanik\OneDrive\Desktop\EXCEL\"/>
    </mc:Choice>
  </mc:AlternateContent>
  <xr:revisionPtr revIDLastSave="0" documentId="13_ncr:1_{EC50AAE7-F04E-4AD4-986E-B095485DA7BA}" xr6:coauthVersionLast="47" xr6:coauthVersionMax="47" xr10:uidLastSave="{00000000-0000-0000-0000-000000000000}"/>
  <bookViews>
    <workbookView xWindow="-108" yWindow="-108" windowWidth="23256" windowHeight="12456" firstSheet="4" activeTab="10" xr2:uid="{00000000-000D-0000-FFFF-FFFF00000000}"/>
  </bookViews>
  <sheets>
    <sheet name="Detail1" sheetId="3" r:id="rId1"/>
    <sheet name="Detail2" sheetId="4" r:id="rId2"/>
    <sheet name="Detail3" sheetId="5" r:id="rId3"/>
    <sheet name="Detail4" sheetId="7" r:id="rId4"/>
    <sheet name="Sheet1" sheetId="2" r:id="rId5"/>
    <sheet name="Dashboard" sheetId="6" r:id="rId6"/>
    <sheet name="Sheet3" sheetId="9" r:id="rId7"/>
    <sheet name="Raw_Data" sheetId="1" r:id="rId8"/>
    <sheet name="Detail5" sheetId="11" r:id="rId9"/>
    <sheet name="Analysis" sheetId="8" r:id="rId10"/>
    <sheet name="Dash" sheetId="10" r:id="rId11"/>
  </sheets>
  <definedNames>
    <definedName name="Slicer_Category">#N/A</definedName>
    <definedName name="Slicer_City">#N/A</definedName>
    <definedName name="Slicer_Months__Dat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8" l="1"/>
  <c r="B5" i="8"/>
  <c r="B4" i="8"/>
  <c r="B3" i="8"/>
  <c r="B2" i="8"/>
</calcChain>
</file>

<file path=xl/sharedStrings.xml><?xml version="1.0" encoding="utf-8"?>
<sst xmlns="http://schemas.openxmlformats.org/spreadsheetml/2006/main" count="3150" uniqueCount="65">
  <si>
    <t>Date</t>
  </si>
  <si>
    <t>Product</t>
  </si>
  <si>
    <t>Category</t>
  </si>
  <si>
    <t>Sales Rep</t>
  </si>
  <si>
    <t>City</t>
  </si>
  <si>
    <t>No. of Units</t>
  </si>
  <si>
    <t>Price</t>
  </si>
  <si>
    <t>Amount</t>
  </si>
  <si>
    <t>Dell XPS 13</t>
  </si>
  <si>
    <t>Laptop</t>
  </si>
  <si>
    <t>Sneha</t>
  </si>
  <si>
    <t>Nagpur</t>
  </si>
  <si>
    <t>OnePlus 8 Pro</t>
  </si>
  <si>
    <t>Phone</t>
  </si>
  <si>
    <t>Kate</t>
  </si>
  <si>
    <t>Kolkata</t>
  </si>
  <si>
    <t>Apple AirPods Pro</t>
  </si>
  <si>
    <t>Headphone</t>
  </si>
  <si>
    <t>Bruce</t>
  </si>
  <si>
    <t>Pune</t>
  </si>
  <si>
    <t>OnePlus Buds</t>
  </si>
  <si>
    <t>Priya</t>
  </si>
  <si>
    <t>HP Envy x360</t>
  </si>
  <si>
    <t>Ahmedabad</t>
  </si>
  <si>
    <t>Delhi</t>
  </si>
  <si>
    <t>MacBook Air</t>
  </si>
  <si>
    <t>Mumbai</t>
  </si>
  <si>
    <t>Cochin</t>
  </si>
  <si>
    <t>Neha</t>
  </si>
  <si>
    <t>Bangalore</t>
  </si>
  <si>
    <t>Amit</t>
  </si>
  <si>
    <t>Hyderabad</t>
  </si>
  <si>
    <t>Rahul</t>
  </si>
  <si>
    <t>Sony WH-1000XM4</t>
  </si>
  <si>
    <t>Tara</t>
  </si>
  <si>
    <t>iPhone 11 Pro</t>
  </si>
  <si>
    <t>Samsung S21</t>
  </si>
  <si>
    <t>Chennai</t>
  </si>
  <si>
    <t>Asif</t>
  </si>
  <si>
    <t>Krish</t>
  </si>
  <si>
    <t>Row Labels</t>
  </si>
  <si>
    <t>Grand Total</t>
  </si>
  <si>
    <t>Sum of Amount</t>
  </si>
  <si>
    <t>Details for Sum of Amount - City: Kolkata</t>
  </si>
  <si>
    <t>Details for Sum of Amount - City: Delhi</t>
  </si>
  <si>
    <t>Sum of Price</t>
  </si>
  <si>
    <t>Details for Sum of Amount - City: Chennai</t>
  </si>
  <si>
    <t>May</t>
  </si>
  <si>
    <t>Details for Sum of Amount - City: Hyderabad</t>
  </si>
  <si>
    <t>Sum of No. of Units</t>
  </si>
  <si>
    <t>Metric</t>
  </si>
  <si>
    <t>Value</t>
  </si>
  <si>
    <t>Total Sales</t>
  </si>
  <si>
    <t>Total Units Sold</t>
  </si>
  <si>
    <t>Average Sales</t>
  </si>
  <si>
    <t>Maximum Sale</t>
  </si>
  <si>
    <t>Minimum Sale</t>
  </si>
  <si>
    <t>Jan</t>
  </si>
  <si>
    <t>Apr</t>
  </si>
  <si>
    <t>Jul</t>
  </si>
  <si>
    <t>Aug</t>
  </si>
  <si>
    <t>Sep</t>
  </si>
  <si>
    <t>Nov</t>
  </si>
  <si>
    <t>Details for Sum of Amount - Months (Date): Nov</t>
  </si>
  <si>
    <t>Count of Sales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</si>
</sst>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quot;₹&quot;\ #,##0"/>
  </numFmts>
  <fonts count="3" x14ac:knownFonts="1">
    <font>
      <sz val="11"/>
      <color theme="1"/>
      <name val="Calibri"/>
      <family val="2"/>
      <scheme val="minor"/>
    </font>
    <font>
      <b/>
      <sz val="11"/>
      <color theme="1"/>
      <name val="Calibri"/>
      <family val="2"/>
      <scheme val="minor"/>
    </font>
    <font>
      <sz val="11"/>
      <color theme="0" tint="-4.9989318521683403E-2"/>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1" fillId="0" borderId="0" xfId="0" applyFont="1"/>
    <xf numFmtId="3" fontId="0" fillId="0" borderId="0" xfId="0" applyNumberFormat="1"/>
    <xf numFmtId="165" fontId="0" fillId="0" borderId="0" xfId="0" applyNumberFormat="1"/>
    <xf numFmtId="0" fontId="0" fillId="0" borderId="0" xfId="0" applyAlignment="1">
      <alignment vertical="center" wrapText="1"/>
    </xf>
    <xf numFmtId="0" fontId="2" fillId="2" borderId="0" xfId="0" applyFont="1" applyFill="1"/>
    <xf numFmtId="0" fontId="2" fillId="2" borderId="0" xfId="0" applyFont="1" applyFill="1" applyAlignment="1">
      <alignment horizontal="center"/>
    </xf>
    <xf numFmtId="0" fontId="0" fillId="0" borderId="0" xfId="0" applyNumberFormat="1"/>
  </cellXfs>
  <cellStyles count="1">
    <cellStyle name="Normal" xfId="0" builtinId="0"/>
  </cellStyles>
  <dxfs count="5">
    <dxf>
      <numFmt numFmtId="19" formatCode="dd/mm/yyyy"/>
    </dxf>
    <dxf>
      <numFmt numFmtId="19" formatCode="dd/mm/yyyy"/>
    </dxf>
    <dxf>
      <numFmt numFmtId="19" formatCode="dd/mm/yyyy"/>
    </dxf>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[mini_project_final.xlsx]Sheet1!PivotTable1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Sheet1!$A$4:$A$5</c:f>
              <c:strCache>
                <c:ptCount val="1"/>
                <c:pt idx="0">
                  <c:v>Pune</c:v>
                </c:pt>
              </c:strCache>
            </c:strRef>
          </c:cat>
          <c:val>
            <c:numRef>
              <c:f>Sheet1!$B$4:$B$5</c:f>
              <c:numCache>
                <c:formatCode>#,##0</c:formatCode>
                <c:ptCount val="1"/>
                <c:pt idx="0">
                  <c:v>4740</c:v>
                </c:pt>
              </c:numCache>
            </c:numRef>
          </c:val>
          <c:smooth val="0"/>
          <c:extLst>
            <c:ext xmlns:c16="http://schemas.microsoft.com/office/drawing/2014/chart" uri="{C3380CC4-5D6E-409C-BE32-E72D297353CC}">
              <c16:uniqueId val="{00000000-BD13-486E-AA4D-9AFDF2B5D0AA}"/>
            </c:ext>
          </c:extLst>
        </c:ser>
        <c:dLbls>
          <c:showLegendKey val="0"/>
          <c:showVal val="0"/>
          <c:showCatName val="0"/>
          <c:showSerName val="0"/>
          <c:showPercent val="0"/>
          <c:showBubbleSize val="0"/>
        </c:dLbls>
        <c:smooth val="0"/>
        <c:axId val="1883601039"/>
        <c:axId val="1714110767"/>
      </c:lineChart>
      <c:catAx>
        <c:axId val="188360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110767"/>
        <c:crosses val="autoZero"/>
        <c:auto val="1"/>
        <c:lblAlgn val="ctr"/>
        <c:lblOffset val="100"/>
        <c:noMultiLvlLbl val="0"/>
      </c:catAx>
      <c:valAx>
        <c:axId val="1714110767"/>
        <c:scaling>
          <c:orientation val="minMax"/>
        </c:scaling>
        <c:delete val="1"/>
        <c:axPos val="l"/>
        <c:numFmt formatCode="#,##0" sourceLinked="1"/>
        <c:majorTickMark val="none"/>
        <c:minorTickMark val="none"/>
        <c:tickLblPos val="nextTo"/>
        <c:crossAx val="188360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[mini_project_final.xlsx]Sheet1!PivotTable2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06240740740741E-2"/>
          <c:y val="0.1979788888888889"/>
          <c:w val="0.89294870370370372"/>
          <c:h val="0.49457592592592592"/>
        </c:manualLayout>
      </c:layout>
      <c:barChart>
        <c:barDir val="col"/>
        <c:grouping val="clustered"/>
        <c:varyColors val="0"/>
        <c:ser>
          <c:idx val="0"/>
          <c:order val="0"/>
          <c:tx>
            <c:strRef>
              <c:f>Sheet1!$E$3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Sheet1!$D$4:$D$5</c:f>
              <c:strCache>
                <c:ptCount val="1"/>
                <c:pt idx="0">
                  <c:v>OnePlus 8 Pro</c:v>
                </c:pt>
              </c:strCache>
            </c:strRef>
          </c:cat>
          <c:val>
            <c:numRef>
              <c:f>Sheet1!$E$4:$E$5</c:f>
              <c:numCache>
                <c:formatCode>#,##0</c:formatCode>
                <c:ptCount val="1"/>
                <c:pt idx="0">
                  <c:v>4740</c:v>
                </c:pt>
              </c:numCache>
            </c:numRef>
          </c:val>
          <c:extLst>
            <c:ext xmlns:c16="http://schemas.microsoft.com/office/drawing/2014/chart" uri="{C3380CC4-5D6E-409C-BE32-E72D297353CC}">
              <c16:uniqueId val="{00000000-A494-4DF4-A0A1-BD4D4FD37C07}"/>
            </c:ext>
          </c:extLst>
        </c:ser>
        <c:dLbls>
          <c:dLblPos val="outEnd"/>
          <c:showLegendKey val="0"/>
          <c:showVal val="1"/>
          <c:showCatName val="0"/>
          <c:showSerName val="0"/>
          <c:showPercent val="0"/>
          <c:showBubbleSize val="0"/>
        </c:dLbls>
        <c:gapWidth val="219"/>
        <c:overlap val="-27"/>
        <c:axId val="1883599183"/>
        <c:axId val="1781362991"/>
      </c:barChart>
      <c:catAx>
        <c:axId val="188359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362991"/>
        <c:crosses val="autoZero"/>
        <c:auto val="1"/>
        <c:lblAlgn val="ctr"/>
        <c:lblOffset val="100"/>
        <c:noMultiLvlLbl val="0"/>
      </c:catAx>
      <c:valAx>
        <c:axId val="1781362991"/>
        <c:scaling>
          <c:orientation val="minMax"/>
        </c:scaling>
        <c:delete val="1"/>
        <c:axPos val="l"/>
        <c:numFmt formatCode="#,##0" sourceLinked="1"/>
        <c:majorTickMark val="none"/>
        <c:minorTickMark val="none"/>
        <c:tickLblPos val="nextTo"/>
        <c:crossAx val="188359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[mini_project_final.xlsx]Sheet1!PivotTable3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Sheet1!$I$3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68-47A4-AA68-CA6B29D52D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68-47A4-AA68-CA6B29D52D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68-47A4-AA68-CA6B29D52DA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Sheet1!$H$4:$H$5</c:f>
              <c:strCache>
                <c:ptCount val="1"/>
                <c:pt idx="0">
                  <c:v>Phone</c:v>
                </c:pt>
              </c:strCache>
            </c:strRef>
          </c:cat>
          <c:val>
            <c:numRef>
              <c:f>Sheet1!$I$4:$I$5</c:f>
              <c:numCache>
                <c:formatCode>#,##0</c:formatCode>
                <c:ptCount val="1"/>
                <c:pt idx="0">
                  <c:v>4740</c:v>
                </c:pt>
              </c:numCache>
            </c:numRef>
          </c:val>
          <c:extLst>
            <c:ext xmlns:c16="http://schemas.microsoft.com/office/drawing/2014/chart" uri="{C3380CC4-5D6E-409C-BE32-E72D297353CC}">
              <c16:uniqueId val="{00000000-7BA9-4AA3-876C-BD0E1C18992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[mini_project_final.xlsx]Sheet1!PivotTable7</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Sheet1!$C$55</c:f>
              <c:strCache>
                <c:ptCount val="1"/>
                <c:pt idx="0">
                  <c:v>Total</c:v>
                </c:pt>
              </c:strCache>
            </c:strRef>
          </c:tx>
          <c:spPr>
            <a:solidFill>
              <a:schemeClr val="accent1"/>
            </a:solidFill>
            <a:ln>
              <a:noFill/>
            </a:ln>
            <a:effectLst/>
          </c:spPr>
          <c:invertIfNegative val="0"/>
          <c:cat>
            <c:strRef>
              <c:f>Sheet1!$B$56:$B$57</c:f>
              <c:strCache>
                <c:ptCount val="1"/>
                <c:pt idx="0">
                  <c:v>May</c:v>
                </c:pt>
              </c:strCache>
            </c:strRef>
          </c:cat>
          <c:val>
            <c:numRef>
              <c:f>Sheet1!$C$56:$C$57</c:f>
              <c:numCache>
                <c:formatCode>General</c:formatCode>
                <c:ptCount val="1"/>
                <c:pt idx="0">
                  <c:v>4740</c:v>
                </c:pt>
              </c:numCache>
            </c:numRef>
          </c:val>
          <c:extLst>
            <c:ext xmlns:c16="http://schemas.microsoft.com/office/drawing/2014/chart" uri="{C3380CC4-5D6E-409C-BE32-E72D297353CC}">
              <c16:uniqueId val="{00000000-E729-400F-AE77-A90AFDCC2531}"/>
            </c:ext>
          </c:extLst>
        </c:ser>
        <c:dLbls>
          <c:showLegendKey val="0"/>
          <c:showVal val="0"/>
          <c:showCatName val="0"/>
          <c:showSerName val="0"/>
          <c:showPercent val="0"/>
          <c:showBubbleSize val="0"/>
        </c:dLbls>
        <c:gapWidth val="182"/>
        <c:axId val="1883730639"/>
        <c:axId val="1781375951"/>
      </c:barChart>
      <c:catAx>
        <c:axId val="188373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375951"/>
        <c:crosses val="autoZero"/>
        <c:auto val="1"/>
        <c:lblAlgn val="ctr"/>
        <c:lblOffset val="100"/>
        <c:noMultiLvlLbl val="0"/>
      </c:catAx>
      <c:valAx>
        <c:axId val="1781375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3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[mini_project_final.xlsx]Sheet1!PivotTable8</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Sheet1!$C$77</c:f>
              <c:strCache>
                <c:ptCount val="1"/>
                <c:pt idx="0">
                  <c:v>Sum of No. of Units</c:v>
                </c:pt>
              </c:strCache>
            </c:strRef>
          </c:tx>
          <c:spPr>
            <a:solidFill>
              <a:schemeClr val="accent1"/>
            </a:solidFill>
            <a:ln>
              <a:noFill/>
            </a:ln>
            <a:effectLst/>
          </c:spPr>
          <c:invertIfNegative val="0"/>
          <c:cat>
            <c:strRef>
              <c:f>Sheet1!$B$78:$B$79</c:f>
              <c:strCache>
                <c:ptCount val="1"/>
                <c:pt idx="0">
                  <c:v>Pune</c:v>
                </c:pt>
              </c:strCache>
            </c:strRef>
          </c:cat>
          <c:val>
            <c:numRef>
              <c:f>Sheet1!$C$78:$C$79</c:f>
              <c:numCache>
                <c:formatCode>General</c:formatCode>
                <c:ptCount val="1"/>
                <c:pt idx="0">
                  <c:v>6</c:v>
                </c:pt>
              </c:numCache>
            </c:numRef>
          </c:val>
          <c:extLst>
            <c:ext xmlns:c16="http://schemas.microsoft.com/office/drawing/2014/chart" uri="{C3380CC4-5D6E-409C-BE32-E72D297353CC}">
              <c16:uniqueId val="{00000000-98F0-40BD-8EE5-075C28AD2ED9}"/>
            </c:ext>
          </c:extLst>
        </c:ser>
        <c:dLbls>
          <c:showLegendKey val="0"/>
          <c:showVal val="0"/>
          <c:showCatName val="0"/>
          <c:showSerName val="0"/>
          <c:showPercent val="0"/>
          <c:showBubbleSize val="0"/>
        </c:dLbls>
        <c:gapWidth val="150"/>
        <c:axId val="1968242623"/>
        <c:axId val="1781382191"/>
      </c:barChart>
      <c:lineChart>
        <c:grouping val="standard"/>
        <c:varyColors val="0"/>
        <c:ser>
          <c:idx val="1"/>
          <c:order val="1"/>
          <c:tx>
            <c:strRef>
              <c:f>Sheet1!$D$77</c:f>
              <c:strCache>
                <c:ptCount val="1"/>
                <c:pt idx="0">
                  <c:v>Sum of Price</c:v>
                </c:pt>
              </c:strCache>
            </c:strRef>
          </c:tx>
          <c:spPr>
            <a:ln w="28575" cap="rnd">
              <a:solidFill>
                <a:schemeClr val="accent2"/>
              </a:solidFill>
              <a:round/>
            </a:ln>
            <a:effectLst/>
          </c:spPr>
          <c:marker>
            <c:symbol val="none"/>
          </c:marker>
          <c:cat>
            <c:strRef>
              <c:f>Sheet1!$B$78:$B$79</c:f>
              <c:strCache>
                <c:ptCount val="1"/>
                <c:pt idx="0">
                  <c:v>Pune</c:v>
                </c:pt>
              </c:strCache>
            </c:strRef>
          </c:cat>
          <c:val>
            <c:numRef>
              <c:f>Sheet1!$D$78:$D$79</c:f>
              <c:numCache>
                <c:formatCode>General</c:formatCode>
                <c:ptCount val="1"/>
                <c:pt idx="0">
                  <c:v>790</c:v>
                </c:pt>
              </c:numCache>
            </c:numRef>
          </c:val>
          <c:smooth val="0"/>
          <c:extLst>
            <c:ext xmlns:c16="http://schemas.microsoft.com/office/drawing/2014/chart" uri="{C3380CC4-5D6E-409C-BE32-E72D297353CC}">
              <c16:uniqueId val="{00000001-98F0-40BD-8EE5-075C28AD2ED9}"/>
            </c:ext>
          </c:extLst>
        </c:ser>
        <c:dLbls>
          <c:showLegendKey val="0"/>
          <c:showVal val="0"/>
          <c:showCatName val="0"/>
          <c:showSerName val="0"/>
          <c:showPercent val="0"/>
          <c:showBubbleSize val="0"/>
        </c:dLbls>
        <c:marker val="1"/>
        <c:smooth val="0"/>
        <c:axId val="1968233343"/>
        <c:axId val="1781375471"/>
      </c:lineChart>
      <c:catAx>
        <c:axId val="196824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382191"/>
        <c:crosses val="autoZero"/>
        <c:auto val="1"/>
        <c:lblAlgn val="ctr"/>
        <c:lblOffset val="100"/>
        <c:noMultiLvlLbl val="0"/>
      </c:catAx>
      <c:valAx>
        <c:axId val="178138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242623"/>
        <c:crosses val="autoZero"/>
        <c:crossBetween val="between"/>
      </c:valAx>
      <c:valAx>
        <c:axId val="178137547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233343"/>
        <c:crosses val="max"/>
        <c:crossBetween val="between"/>
      </c:valAx>
      <c:catAx>
        <c:axId val="1968233343"/>
        <c:scaling>
          <c:orientation val="minMax"/>
        </c:scaling>
        <c:delete val="1"/>
        <c:axPos val="b"/>
        <c:numFmt formatCode="General" sourceLinked="1"/>
        <c:majorTickMark val="none"/>
        <c:minorTickMark val="none"/>
        <c:tickLblPos val="nextTo"/>
        <c:crossAx val="17813754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[mini_project_final.xlsx]Sheet1!PivotTable1</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City Wise 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814583333333333E-2"/>
          <c:y val="0.21212023809523808"/>
          <c:w val="0.93113680555555556"/>
          <c:h val="0.55408650793650793"/>
        </c:manualLayout>
      </c:layout>
      <c:lineChart>
        <c:grouping val="standard"/>
        <c:varyColors val="0"/>
        <c:ser>
          <c:idx val="0"/>
          <c:order val="0"/>
          <c:tx>
            <c:strRef>
              <c:f>Sheet1!$B$3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Sheet1!$A$4:$A$5</c:f>
              <c:strCache>
                <c:ptCount val="1"/>
                <c:pt idx="0">
                  <c:v>Pune</c:v>
                </c:pt>
              </c:strCache>
            </c:strRef>
          </c:cat>
          <c:val>
            <c:numRef>
              <c:f>Sheet1!$B$4:$B$5</c:f>
              <c:numCache>
                <c:formatCode>#,##0</c:formatCode>
                <c:ptCount val="1"/>
                <c:pt idx="0">
                  <c:v>4740</c:v>
                </c:pt>
              </c:numCache>
            </c:numRef>
          </c:val>
          <c:smooth val="0"/>
          <c:extLst>
            <c:ext xmlns:c16="http://schemas.microsoft.com/office/drawing/2014/chart" uri="{C3380CC4-5D6E-409C-BE32-E72D297353CC}">
              <c16:uniqueId val="{00000000-4886-4EC6-A828-52377573D01A}"/>
            </c:ext>
          </c:extLst>
        </c:ser>
        <c:dLbls>
          <c:dLblPos val="ctr"/>
          <c:showLegendKey val="0"/>
          <c:showVal val="1"/>
          <c:showCatName val="0"/>
          <c:showSerName val="0"/>
          <c:showPercent val="0"/>
          <c:showBubbleSize val="0"/>
        </c:dLbls>
        <c:marker val="1"/>
        <c:smooth val="0"/>
        <c:axId val="1883601039"/>
        <c:axId val="1714110767"/>
      </c:lineChart>
      <c:catAx>
        <c:axId val="188360103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4110767"/>
        <c:crosses val="autoZero"/>
        <c:auto val="1"/>
        <c:lblAlgn val="ctr"/>
        <c:lblOffset val="100"/>
        <c:noMultiLvlLbl val="0"/>
      </c:catAx>
      <c:valAx>
        <c:axId val="17141107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360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[mini_project_final.xlsx]Sheet1!PivotTable2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Wise Data</a:t>
            </a:r>
            <a:endParaRPr lang="en-US"/>
          </a:p>
        </c:rich>
      </c:tx>
      <c:layout>
        <c:manualLayout>
          <c:xMode val="edge"/>
          <c:yMode val="edge"/>
          <c:x val="0.42195213660090242"/>
          <c:y val="3.194888178913737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Sheet1!$D$4:$D$5</c:f>
              <c:strCache>
                <c:ptCount val="1"/>
                <c:pt idx="0">
                  <c:v>OnePlus 8 Pro</c:v>
                </c:pt>
              </c:strCache>
            </c:strRef>
          </c:cat>
          <c:val>
            <c:numRef>
              <c:f>Sheet1!$E$4:$E$5</c:f>
              <c:numCache>
                <c:formatCode>#,##0</c:formatCode>
                <c:ptCount val="1"/>
                <c:pt idx="0">
                  <c:v>4740</c:v>
                </c:pt>
              </c:numCache>
            </c:numRef>
          </c:val>
          <c:extLst>
            <c:ext xmlns:c16="http://schemas.microsoft.com/office/drawing/2014/chart" uri="{C3380CC4-5D6E-409C-BE32-E72D297353CC}">
              <c16:uniqueId val="{00000000-426E-4F82-9A0B-AE225CB2C0A1}"/>
            </c:ext>
          </c:extLst>
        </c:ser>
        <c:dLbls>
          <c:dLblPos val="outEnd"/>
          <c:showLegendKey val="0"/>
          <c:showVal val="1"/>
          <c:showCatName val="0"/>
          <c:showSerName val="0"/>
          <c:showPercent val="0"/>
          <c:showBubbleSize val="0"/>
        </c:dLbls>
        <c:gapWidth val="100"/>
        <c:overlap val="-24"/>
        <c:axId val="1883599183"/>
        <c:axId val="1781362991"/>
      </c:barChart>
      <c:catAx>
        <c:axId val="1883599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1362991"/>
        <c:crosses val="autoZero"/>
        <c:auto val="1"/>
        <c:lblAlgn val="ctr"/>
        <c:lblOffset val="100"/>
        <c:noMultiLvlLbl val="0"/>
      </c:catAx>
      <c:valAx>
        <c:axId val="1781362991"/>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188359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[mini_project_final.xlsx]Sheet1!PivotTable3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Sheet1!$I$3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B52-47F3-8AA6-04392B556BF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B52-47F3-8AA6-04392B556BF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B52-47F3-8AA6-04392B556BFA}"/>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Sheet1!$H$4:$H$5</c:f>
              <c:strCache>
                <c:ptCount val="1"/>
                <c:pt idx="0">
                  <c:v>Phone</c:v>
                </c:pt>
              </c:strCache>
            </c:strRef>
          </c:cat>
          <c:val>
            <c:numRef>
              <c:f>Sheet1!$I$4:$I$5</c:f>
              <c:numCache>
                <c:formatCode>#,##0</c:formatCode>
                <c:ptCount val="1"/>
                <c:pt idx="0">
                  <c:v>4740</c:v>
                </c:pt>
              </c:numCache>
            </c:numRef>
          </c:val>
          <c:extLst>
            <c:ext xmlns:c16="http://schemas.microsoft.com/office/drawing/2014/chart" uri="{C3380CC4-5D6E-409C-BE32-E72D297353CC}">
              <c16:uniqueId val="{00000006-2B52-47F3-8AA6-04392B556BF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[mini_project_final.xlsx]Sheet1!PivotTable7</c:name>
    <c:fmtId val="17"/>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Sheet1!$C$55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Sheet1!$B$56:$B$57</c:f>
              <c:strCache>
                <c:ptCount val="1"/>
                <c:pt idx="0">
                  <c:v>May</c:v>
                </c:pt>
              </c:strCache>
            </c:strRef>
          </c:cat>
          <c:val>
            <c:numRef>
              <c:f>Sheet1!$C$56:$C$57</c:f>
              <c:numCache>
                <c:formatCode>General</c:formatCode>
                <c:ptCount val="1"/>
                <c:pt idx="0">
                  <c:v>4740</c:v>
                </c:pt>
              </c:numCache>
            </c:numRef>
          </c:val>
          <c:extLst>
            <c:ext xmlns:c16="http://schemas.microsoft.com/office/drawing/2014/chart" uri="{C3380CC4-5D6E-409C-BE32-E72D297353CC}">
              <c16:uniqueId val="{00000000-2618-458F-867E-21996D73F318}"/>
            </c:ext>
          </c:extLst>
        </c:ser>
        <c:dLbls>
          <c:dLblPos val="outEnd"/>
          <c:showLegendKey val="0"/>
          <c:showVal val="1"/>
          <c:showCatName val="0"/>
          <c:showSerName val="0"/>
          <c:showPercent val="0"/>
          <c:showBubbleSize val="0"/>
        </c:dLbls>
        <c:gapWidth val="182"/>
        <c:overlap val="-50"/>
        <c:axId val="1883730639"/>
        <c:axId val="1781375951"/>
      </c:barChart>
      <c:catAx>
        <c:axId val="1883730639"/>
        <c:scaling>
          <c:orientation val="minMax"/>
        </c:scaling>
        <c:delete val="1"/>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crossAx val="1781375951"/>
        <c:crosses val="autoZero"/>
        <c:auto val="1"/>
        <c:lblAlgn val="ctr"/>
        <c:lblOffset val="100"/>
        <c:noMultiLvlLbl val="0"/>
      </c:catAx>
      <c:valAx>
        <c:axId val="178137595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373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[mini_project_final.xlsx]Sheet1!PivotTable5</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Sheet1!$K$9</c:f>
              <c:strCache>
                <c:ptCount val="1"/>
                <c:pt idx="0">
                  <c:v>Sum of Amount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Sheet1!$J$10:$J$11</c:f>
              <c:strCache>
                <c:ptCount val="1"/>
                <c:pt idx="0">
                  <c:v>Pune</c:v>
                </c:pt>
              </c:strCache>
            </c:strRef>
          </c:cat>
          <c:val>
            <c:numRef>
              <c:f>Sheet1!$K$10:$K$11</c:f>
              <c:numCache>
                <c:formatCode>#,##0</c:formatCode>
                <c:ptCount val="1"/>
                <c:pt idx="0">
                  <c:v>4740</c:v>
                </c:pt>
              </c:numCache>
            </c:numRef>
          </c:val>
          <c:extLst>
            <c:ext xmlns:c16="http://schemas.microsoft.com/office/drawing/2014/chart" uri="{C3380CC4-5D6E-409C-BE32-E72D297353CC}">
              <c16:uniqueId val="{00000000-2AA9-4FEB-85F7-34CEEB7475B6}"/>
            </c:ext>
          </c:extLst>
        </c:ser>
        <c:ser>
          <c:idx val="1"/>
          <c:order val="1"/>
          <c:tx>
            <c:strRef>
              <c:f>Sheet1!$L$9</c:f>
              <c:strCache>
                <c:ptCount val="1"/>
                <c:pt idx="0">
                  <c:v>Sum of Price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Sheet1!$J$10:$J$11</c:f>
              <c:strCache>
                <c:ptCount val="1"/>
                <c:pt idx="0">
                  <c:v>Pune</c:v>
                </c:pt>
              </c:strCache>
            </c:strRef>
          </c:cat>
          <c:val>
            <c:numRef>
              <c:f>Sheet1!$L$10:$L$11</c:f>
              <c:numCache>
                <c:formatCode>"₹"\ #,##0</c:formatCode>
                <c:ptCount val="1"/>
                <c:pt idx="0">
                  <c:v>790</c:v>
                </c:pt>
              </c:numCache>
            </c:numRef>
          </c:val>
          <c:extLst>
            <c:ext xmlns:c16="http://schemas.microsoft.com/office/drawing/2014/chart" uri="{C3380CC4-5D6E-409C-BE32-E72D297353CC}">
              <c16:uniqueId val="{00000001-2AA9-4FEB-85F7-34CEEB7475B6}"/>
            </c:ext>
          </c:extLst>
        </c:ser>
        <c:dLbls>
          <c:showLegendKey val="0"/>
          <c:showVal val="0"/>
          <c:showCatName val="0"/>
          <c:showSerName val="0"/>
          <c:showPercent val="0"/>
          <c:showBubbleSize val="0"/>
        </c:dLbls>
        <c:gapWidth val="315"/>
        <c:overlap val="-40"/>
        <c:axId val="1921798095"/>
        <c:axId val="1781406671"/>
      </c:barChart>
      <c:catAx>
        <c:axId val="192179809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1406671"/>
        <c:crosses val="autoZero"/>
        <c:auto val="1"/>
        <c:lblAlgn val="ctr"/>
        <c:lblOffset val="100"/>
        <c:noMultiLvlLbl val="0"/>
      </c:catAx>
      <c:valAx>
        <c:axId val="1781406671"/>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crossAx val="192179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[mini_project_final.xlsx]Sheet1!PivotTable8</c:name>
    <c:fmtId val="2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819239013033814E-2"/>
          <c:y val="7.1724628171478552E-2"/>
          <c:w val="0.74862022844159404"/>
          <c:h val="0.71115522018081068"/>
        </c:manualLayout>
      </c:layout>
      <c:barChart>
        <c:barDir val="col"/>
        <c:grouping val="clustered"/>
        <c:varyColors val="0"/>
        <c:ser>
          <c:idx val="0"/>
          <c:order val="0"/>
          <c:tx>
            <c:strRef>
              <c:f>Sheet1!$C$77</c:f>
              <c:strCache>
                <c:ptCount val="1"/>
                <c:pt idx="0">
                  <c:v>Sum of No. of Units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Sheet1!$B$78:$B$79</c:f>
              <c:strCache>
                <c:ptCount val="1"/>
                <c:pt idx="0">
                  <c:v>Pune</c:v>
                </c:pt>
              </c:strCache>
            </c:strRef>
          </c:cat>
          <c:val>
            <c:numRef>
              <c:f>Sheet1!$C$78:$C$79</c:f>
              <c:numCache>
                <c:formatCode>General</c:formatCode>
                <c:ptCount val="1"/>
                <c:pt idx="0">
                  <c:v>6</c:v>
                </c:pt>
              </c:numCache>
            </c:numRef>
          </c:val>
          <c:extLst>
            <c:ext xmlns:c16="http://schemas.microsoft.com/office/drawing/2014/chart" uri="{C3380CC4-5D6E-409C-BE32-E72D297353CC}">
              <c16:uniqueId val="{00000000-1006-4786-95D9-C918E306DFE1}"/>
            </c:ext>
          </c:extLst>
        </c:ser>
        <c:dLbls>
          <c:showLegendKey val="0"/>
          <c:showVal val="0"/>
          <c:showCatName val="0"/>
          <c:showSerName val="0"/>
          <c:showPercent val="0"/>
          <c:showBubbleSize val="0"/>
        </c:dLbls>
        <c:gapWidth val="150"/>
        <c:axId val="1968242623"/>
        <c:axId val="1781382191"/>
      </c:barChart>
      <c:lineChart>
        <c:grouping val="standard"/>
        <c:varyColors val="0"/>
        <c:ser>
          <c:idx val="1"/>
          <c:order val="1"/>
          <c:tx>
            <c:strRef>
              <c:f>Sheet1!$D$77</c:f>
              <c:strCache>
                <c:ptCount val="1"/>
                <c:pt idx="0">
                  <c:v>Sum of Price</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Sheet1!$B$78:$B$79</c:f>
              <c:strCache>
                <c:ptCount val="1"/>
                <c:pt idx="0">
                  <c:v>Pune</c:v>
                </c:pt>
              </c:strCache>
            </c:strRef>
          </c:cat>
          <c:val>
            <c:numRef>
              <c:f>Sheet1!$D$78:$D$79</c:f>
              <c:numCache>
                <c:formatCode>General</c:formatCode>
                <c:ptCount val="1"/>
                <c:pt idx="0">
                  <c:v>790</c:v>
                </c:pt>
              </c:numCache>
            </c:numRef>
          </c:val>
          <c:smooth val="0"/>
          <c:extLst>
            <c:ext xmlns:c16="http://schemas.microsoft.com/office/drawing/2014/chart" uri="{C3380CC4-5D6E-409C-BE32-E72D297353CC}">
              <c16:uniqueId val="{00000001-1006-4786-95D9-C918E306DFE1}"/>
            </c:ext>
          </c:extLst>
        </c:ser>
        <c:dLbls>
          <c:showLegendKey val="0"/>
          <c:showVal val="0"/>
          <c:showCatName val="0"/>
          <c:showSerName val="0"/>
          <c:showPercent val="0"/>
          <c:showBubbleSize val="0"/>
        </c:dLbls>
        <c:marker val="1"/>
        <c:smooth val="0"/>
        <c:axId val="1968233343"/>
        <c:axId val="1781375471"/>
      </c:lineChart>
      <c:catAx>
        <c:axId val="19682426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1382191"/>
        <c:crosses val="autoZero"/>
        <c:auto val="1"/>
        <c:lblAlgn val="ctr"/>
        <c:lblOffset val="100"/>
        <c:noMultiLvlLbl val="0"/>
      </c:catAx>
      <c:valAx>
        <c:axId val="1781382191"/>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968242623"/>
        <c:crosses val="autoZero"/>
        <c:crossBetween val="between"/>
      </c:valAx>
      <c:valAx>
        <c:axId val="178137547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8233343"/>
        <c:crosses val="max"/>
        <c:crossBetween val="between"/>
      </c:valAx>
      <c:catAx>
        <c:axId val="1968233343"/>
        <c:scaling>
          <c:orientation val="minMax"/>
        </c:scaling>
        <c:delete val="1"/>
        <c:axPos val="b"/>
        <c:numFmt formatCode="General" sourceLinked="1"/>
        <c:majorTickMark val="none"/>
        <c:minorTickMark val="none"/>
        <c:tickLblPos val="nextTo"/>
        <c:crossAx val="17813754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[mini_project_final.xlsx]Sheet3!PivotTable1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Samsung S21</c:v>
                </c:pt>
                <c:pt idx="1">
                  <c:v>iPhone 11 Pro</c:v>
                </c:pt>
                <c:pt idx="2">
                  <c:v>OnePlus 8 Pro</c:v>
                </c:pt>
              </c:strCache>
            </c:strRef>
          </c:cat>
          <c:val>
            <c:numRef>
              <c:f>Sheet3!$B$4:$B$7</c:f>
              <c:numCache>
                <c:formatCode>General</c:formatCode>
                <c:ptCount val="3"/>
                <c:pt idx="0">
                  <c:v>88350</c:v>
                </c:pt>
                <c:pt idx="1">
                  <c:v>66150</c:v>
                </c:pt>
                <c:pt idx="2">
                  <c:v>15010</c:v>
                </c:pt>
              </c:numCache>
            </c:numRef>
          </c:val>
          <c:extLst>
            <c:ext xmlns:c16="http://schemas.microsoft.com/office/drawing/2014/chart" uri="{C3380CC4-5D6E-409C-BE32-E72D297353CC}">
              <c16:uniqueId val="{00000000-871A-456C-855B-9F6421B45275}"/>
            </c:ext>
          </c:extLst>
        </c:ser>
        <c:dLbls>
          <c:showLegendKey val="0"/>
          <c:showVal val="0"/>
          <c:showCatName val="0"/>
          <c:showSerName val="0"/>
          <c:showPercent val="0"/>
          <c:showBubbleSize val="0"/>
        </c:dLbls>
        <c:gapWidth val="182"/>
        <c:axId val="296708800"/>
        <c:axId val="175689584"/>
      </c:barChart>
      <c:catAx>
        <c:axId val="29670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89584"/>
        <c:crosses val="autoZero"/>
        <c:auto val="1"/>
        <c:lblAlgn val="ctr"/>
        <c:lblOffset val="100"/>
        <c:noMultiLvlLbl val="0"/>
      </c:catAx>
      <c:valAx>
        <c:axId val="175689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70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[mini_project_final.xlsx]Sheet3!PivotTable1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City 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Samsung S21</c:v>
                </c:pt>
                <c:pt idx="1">
                  <c:v>iPhone 11 Pro</c:v>
                </c:pt>
                <c:pt idx="2">
                  <c:v>OnePlus 8 Pro</c:v>
                </c:pt>
              </c:strCache>
            </c:strRef>
          </c:cat>
          <c:val>
            <c:numRef>
              <c:f>Sheet3!$B$4:$B$7</c:f>
              <c:numCache>
                <c:formatCode>General</c:formatCode>
                <c:ptCount val="3"/>
                <c:pt idx="0">
                  <c:v>88350</c:v>
                </c:pt>
                <c:pt idx="1">
                  <c:v>66150</c:v>
                </c:pt>
                <c:pt idx="2">
                  <c:v>15010</c:v>
                </c:pt>
              </c:numCache>
            </c:numRef>
          </c:val>
          <c:extLst>
            <c:ext xmlns:c16="http://schemas.microsoft.com/office/drawing/2014/chart" uri="{C3380CC4-5D6E-409C-BE32-E72D297353CC}">
              <c16:uniqueId val="{00000000-5989-4878-B8CD-0B982A5AFF63}"/>
            </c:ext>
          </c:extLst>
        </c:ser>
        <c:dLbls>
          <c:showLegendKey val="0"/>
          <c:showVal val="0"/>
          <c:showCatName val="0"/>
          <c:showSerName val="0"/>
          <c:showPercent val="0"/>
          <c:showBubbleSize val="0"/>
        </c:dLbls>
        <c:gapWidth val="219"/>
        <c:overlap val="-27"/>
        <c:axId val="289554480"/>
        <c:axId val="175660304"/>
      </c:barChart>
      <c:catAx>
        <c:axId val="28955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60304"/>
        <c:crosses val="autoZero"/>
        <c:auto val="1"/>
        <c:lblAlgn val="ctr"/>
        <c:lblOffset val="100"/>
        <c:noMultiLvlLbl val="0"/>
      </c:catAx>
      <c:valAx>
        <c:axId val="175660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55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[mini_project_final.xlsx]Sheet3!PivotTable1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doughnut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6B-4E97-9DEA-35D9E0ED2A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6B-4E97-9DEA-35D9E0ED2A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6B-4E97-9DEA-35D9E0ED2A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F6B-4E97-9DEA-35D9E0ED2A7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F6B-4E97-9DEA-35D9E0ED2A7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F6B-4E97-9DEA-35D9E0ED2A7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F6B-4E97-9DEA-35D9E0ED2A7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F6B-4E97-9DEA-35D9E0ED2A7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F6B-4E97-9DEA-35D9E0ED2A7E}"/>
              </c:ext>
            </c:extLst>
          </c:dPt>
          <c:cat>
            <c:strRef>
              <c:f>Sheet3!$A$4:$A$7</c:f>
              <c:strCache>
                <c:ptCount val="3"/>
                <c:pt idx="0">
                  <c:v>Samsung S21</c:v>
                </c:pt>
                <c:pt idx="1">
                  <c:v>iPhone 11 Pro</c:v>
                </c:pt>
                <c:pt idx="2">
                  <c:v>OnePlus 8 Pro</c:v>
                </c:pt>
              </c:strCache>
            </c:strRef>
          </c:cat>
          <c:val>
            <c:numRef>
              <c:f>Sheet3!$B$4:$B$7</c:f>
              <c:numCache>
                <c:formatCode>General</c:formatCode>
                <c:ptCount val="3"/>
                <c:pt idx="0">
                  <c:v>88350</c:v>
                </c:pt>
                <c:pt idx="1">
                  <c:v>66150</c:v>
                </c:pt>
                <c:pt idx="2">
                  <c:v>15010</c:v>
                </c:pt>
              </c:numCache>
            </c:numRef>
          </c:val>
          <c:extLst>
            <c:ext xmlns:c16="http://schemas.microsoft.com/office/drawing/2014/chart" uri="{C3380CC4-5D6E-409C-BE32-E72D297353CC}">
              <c16:uniqueId val="{00000012-8F6B-4E97-9DEA-35D9E0ED2A7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[mini_project_final.xlsx]Sheet3!PivotTable3</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Monthly Sales Trend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Sheet3!$B$26</c:f>
              <c:strCache>
                <c:ptCount val="1"/>
                <c:pt idx="0">
                  <c:v>Total</c:v>
                </c:pt>
              </c:strCache>
            </c:strRef>
          </c:tx>
          <c:spPr>
            <a:ln w="28575" cap="rnd">
              <a:solidFill>
                <a:schemeClr val="accent1"/>
              </a:solidFill>
              <a:round/>
            </a:ln>
            <a:effectLst/>
          </c:spPr>
          <c:marker>
            <c:symbol val="none"/>
          </c:marker>
          <c:cat>
            <c:strRef>
              <c:f>Sheet3!$A$27:$A$34</c:f>
              <c:strCache>
                <c:ptCount val="7"/>
                <c:pt idx="0">
                  <c:v>Jan</c:v>
                </c:pt>
                <c:pt idx="1">
                  <c:v>Apr</c:v>
                </c:pt>
                <c:pt idx="2">
                  <c:v>May</c:v>
                </c:pt>
                <c:pt idx="3">
                  <c:v>Jul</c:v>
                </c:pt>
                <c:pt idx="4">
                  <c:v>Aug</c:v>
                </c:pt>
                <c:pt idx="5">
                  <c:v>Sep</c:v>
                </c:pt>
                <c:pt idx="6">
                  <c:v>Nov</c:v>
                </c:pt>
              </c:strCache>
            </c:strRef>
          </c:cat>
          <c:val>
            <c:numRef>
              <c:f>Sheet3!$B$27:$B$34</c:f>
              <c:numCache>
                <c:formatCode>General</c:formatCode>
                <c:ptCount val="7"/>
                <c:pt idx="0">
                  <c:v>36225</c:v>
                </c:pt>
                <c:pt idx="1">
                  <c:v>46550</c:v>
                </c:pt>
                <c:pt idx="2">
                  <c:v>4740</c:v>
                </c:pt>
                <c:pt idx="3">
                  <c:v>29925</c:v>
                </c:pt>
                <c:pt idx="4">
                  <c:v>10450</c:v>
                </c:pt>
                <c:pt idx="5">
                  <c:v>10270</c:v>
                </c:pt>
                <c:pt idx="6">
                  <c:v>31350</c:v>
                </c:pt>
              </c:numCache>
            </c:numRef>
          </c:val>
          <c:smooth val="0"/>
          <c:extLst>
            <c:ext xmlns:c16="http://schemas.microsoft.com/office/drawing/2014/chart" uri="{C3380CC4-5D6E-409C-BE32-E72D297353CC}">
              <c16:uniqueId val="{00000000-0CDF-4DD8-B4A6-52D0EF9FF525}"/>
            </c:ext>
          </c:extLst>
        </c:ser>
        <c:dLbls>
          <c:showLegendKey val="0"/>
          <c:showVal val="0"/>
          <c:showCatName val="0"/>
          <c:showSerName val="0"/>
          <c:showPercent val="0"/>
          <c:showBubbleSize val="0"/>
        </c:dLbls>
        <c:smooth val="0"/>
        <c:axId val="262737776"/>
        <c:axId val="175703024"/>
      </c:lineChart>
      <c:catAx>
        <c:axId val="26273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03024"/>
        <c:crosses val="autoZero"/>
        <c:auto val="1"/>
        <c:lblAlgn val="ctr"/>
        <c:lblOffset val="100"/>
        <c:noMultiLvlLbl val="0"/>
      </c:catAx>
      <c:valAx>
        <c:axId val="175703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73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[mini_project_final.xlsx]Sheet3!PivotTable4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City Wise Sales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Sheet3!$B$43</c:f>
              <c:strCache>
                <c:ptCount val="1"/>
                <c:pt idx="0">
                  <c:v>Total</c:v>
                </c:pt>
              </c:strCache>
            </c:strRef>
          </c:tx>
          <c:spPr>
            <a:solidFill>
              <a:schemeClr val="accent1"/>
            </a:solidFill>
            <a:ln>
              <a:noFill/>
            </a:ln>
            <a:effectLst/>
          </c:spPr>
          <c:invertIfNegative val="0"/>
          <c:cat>
            <c:strRef>
              <c:f>Sheet3!$A$44:$A$45</c:f>
              <c:strCache>
                <c:ptCount val="1"/>
                <c:pt idx="0">
                  <c:v>Pune</c:v>
                </c:pt>
              </c:strCache>
            </c:strRef>
          </c:cat>
          <c:val>
            <c:numRef>
              <c:f>Sheet3!$B$44:$B$45</c:f>
              <c:numCache>
                <c:formatCode>General</c:formatCode>
                <c:ptCount val="1"/>
                <c:pt idx="0">
                  <c:v>8</c:v>
                </c:pt>
              </c:numCache>
            </c:numRef>
          </c:val>
          <c:extLst>
            <c:ext xmlns:c16="http://schemas.microsoft.com/office/drawing/2014/chart" uri="{C3380CC4-5D6E-409C-BE32-E72D297353CC}">
              <c16:uniqueId val="{00000000-C8B7-4F76-8E0E-28AB57B5A49F}"/>
            </c:ext>
          </c:extLst>
        </c:ser>
        <c:dLbls>
          <c:showLegendKey val="0"/>
          <c:showVal val="0"/>
          <c:showCatName val="0"/>
          <c:showSerName val="0"/>
          <c:showPercent val="0"/>
          <c:showBubbleSize val="0"/>
        </c:dLbls>
        <c:gapWidth val="182"/>
        <c:axId val="262781392"/>
        <c:axId val="175725584"/>
      </c:barChart>
      <c:catAx>
        <c:axId val="262781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25584"/>
        <c:crosses val="autoZero"/>
        <c:auto val="1"/>
        <c:lblAlgn val="ctr"/>
        <c:lblOffset val="100"/>
        <c:noMultiLvlLbl val="0"/>
      </c:catAx>
      <c:valAx>
        <c:axId val="175725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78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[mini_project_final.xlsx]Sheet3!PivotTable1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doughnut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C6-4E43-AE8E-74DC2E4DBB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C6-4E43-AE8E-74DC2E4DBB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C6-4E43-AE8E-74DC2E4DBB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C6-4E43-AE8E-74DC2E4DBB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8C6-4E43-AE8E-74DC2E4DBB0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8C6-4E43-AE8E-74DC2E4DBB0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8C6-4E43-AE8E-74DC2E4DBB0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8C6-4E43-AE8E-74DC2E4DBB0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8C6-4E43-AE8E-74DC2E4DBB09}"/>
              </c:ext>
            </c:extLst>
          </c:dPt>
          <c:cat>
            <c:strRef>
              <c:f>Sheet3!$A$4:$A$7</c:f>
              <c:strCache>
                <c:ptCount val="3"/>
                <c:pt idx="0">
                  <c:v>Samsung S21</c:v>
                </c:pt>
                <c:pt idx="1">
                  <c:v>iPhone 11 Pro</c:v>
                </c:pt>
                <c:pt idx="2">
                  <c:v>OnePlus 8 Pro</c:v>
                </c:pt>
              </c:strCache>
            </c:strRef>
          </c:cat>
          <c:val>
            <c:numRef>
              <c:f>Sheet3!$B$4:$B$7</c:f>
              <c:numCache>
                <c:formatCode>General</c:formatCode>
                <c:ptCount val="3"/>
                <c:pt idx="0">
                  <c:v>88350</c:v>
                </c:pt>
                <c:pt idx="1">
                  <c:v>66150</c:v>
                </c:pt>
                <c:pt idx="2">
                  <c:v>15010</c:v>
                </c:pt>
              </c:numCache>
            </c:numRef>
          </c:val>
          <c:extLst>
            <c:ext xmlns:c16="http://schemas.microsoft.com/office/drawing/2014/chart" uri="{C3380CC4-5D6E-409C-BE32-E72D297353CC}">
              <c16:uniqueId val="{00000007-6ED6-49BA-8B65-0B7E426C4ED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[mini_project_final.xlsx]Sheet3!PivotTable1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Samsung S21</c:v>
                </c:pt>
                <c:pt idx="1">
                  <c:v>iPhone 11 Pro</c:v>
                </c:pt>
                <c:pt idx="2">
                  <c:v>OnePlus 8 Pro</c:v>
                </c:pt>
              </c:strCache>
            </c:strRef>
          </c:cat>
          <c:val>
            <c:numRef>
              <c:f>Sheet3!$B$4:$B$7</c:f>
              <c:numCache>
                <c:formatCode>General</c:formatCode>
                <c:ptCount val="3"/>
                <c:pt idx="0">
                  <c:v>88350</c:v>
                </c:pt>
                <c:pt idx="1">
                  <c:v>66150</c:v>
                </c:pt>
                <c:pt idx="2">
                  <c:v>15010</c:v>
                </c:pt>
              </c:numCache>
            </c:numRef>
          </c:val>
          <c:extLst>
            <c:ext xmlns:c16="http://schemas.microsoft.com/office/drawing/2014/chart" uri="{C3380CC4-5D6E-409C-BE32-E72D297353CC}">
              <c16:uniqueId val="{00000000-F0DA-4D08-B78F-5E09859B6C58}"/>
            </c:ext>
          </c:extLst>
        </c:ser>
        <c:dLbls>
          <c:showLegendKey val="0"/>
          <c:showVal val="0"/>
          <c:showCatName val="0"/>
          <c:showSerName val="0"/>
          <c:showPercent val="0"/>
          <c:showBubbleSize val="0"/>
        </c:dLbls>
        <c:gapWidth val="182"/>
        <c:axId val="296708800"/>
        <c:axId val="175689584"/>
      </c:barChart>
      <c:catAx>
        <c:axId val="29670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89584"/>
        <c:crosses val="autoZero"/>
        <c:auto val="1"/>
        <c:lblAlgn val="ctr"/>
        <c:lblOffset val="100"/>
        <c:noMultiLvlLbl val="0"/>
      </c:catAx>
      <c:valAx>
        <c:axId val="175689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70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[mini_project_final.xlsx]Sheet3!PivotTable3</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Monthly Sales Trend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Sheet3!$B$26</c:f>
              <c:strCache>
                <c:ptCount val="1"/>
                <c:pt idx="0">
                  <c:v>Total</c:v>
                </c:pt>
              </c:strCache>
            </c:strRef>
          </c:tx>
          <c:spPr>
            <a:ln w="28575" cap="rnd">
              <a:solidFill>
                <a:schemeClr val="accent1"/>
              </a:solidFill>
              <a:round/>
            </a:ln>
            <a:effectLst/>
          </c:spPr>
          <c:marker>
            <c:symbol val="none"/>
          </c:marker>
          <c:cat>
            <c:strRef>
              <c:f>Sheet3!$A$27:$A$34</c:f>
              <c:strCache>
                <c:ptCount val="7"/>
                <c:pt idx="0">
                  <c:v>Jan</c:v>
                </c:pt>
                <c:pt idx="1">
                  <c:v>Apr</c:v>
                </c:pt>
                <c:pt idx="2">
                  <c:v>May</c:v>
                </c:pt>
                <c:pt idx="3">
                  <c:v>Jul</c:v>
                </c:pt>
                <c:pt idx="4">
                  <c:v>Aug</c:v>
                </c:pt>
                <c:pt idx="5">
                  <c:v>Sep</c:v>
                </c:pt>
                <c:pt idx="6">
                  <c:v>Nov</c:v>
                </c:pt>
              </c:strCache>
            </c:strRef>
          </c:cat>
          <c:val>
            <c:numRef>
              <c:f>Sheet3!$B$27:$B$34</c:f>
              <c:numCache>
                <c:formatCode>General</c:formatCode>
                <c:ptCount val="7"/>
                <c:pt idx="0">
                  <c:v>36225</c:v>
                </c:pt>
                <c:pt idx="1">
                  <c:v>46550</c:v>
                </c:pt>
                <c:pt idx="2">
                  <c:v>4740</c:v>
                </c:pt>
                <c:pt idx="3">
                  <c:v>29925</c:v>
                </c:pt>
                <c:pt idx="4">
                  <c:v>10450</c:v>
                </c:pt>
                <c:pt idx="5">
                  <c:v>10270</c:v>
                </c:pt>
                <c:pt idx="6">
                  <c:v>31350</c:v>
                </c:pt>
              </c:numCache>
            </c:numRef>
          </c:val>
          <c:smooth val="0"/>
          <c:extLst>
            <c:ext xmlns:c16="http://schemas.microsoft.com/office/drawing/2014/chart" uri="{C3380CC4-5D6E-409C-BE32-E72D297353CC}">
              <c16:uniqueId val="{00000000-B070-416B-9E8E-5D34B649C93D}"/>
            </c:ext>
          </c:extLst>
        </c:ser>
        <c:dLbls>
          <c:showLegendKey val="0"/>
          <c:showVal val="0"/>
          <c:showCatName val="0"/>
          <c:showSerName val="0"/>
          <c:showPercent val="0"/>
          <c:showBubbleSize val="0"/>
        </c:dLbls>
        <c:smooth val="0"/>
        <c:axId val="262737776"/>
        <c:axId val="175703024"/>
      </c:lineChart>
      <c:catAx>
        <c:axId val="26273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03024"/>
        <c:crosses val="autoZero"/>
        <c:auto val="1"/>
        <c:lblAlgn val="ctr"/>
        <c:lblOffset val="100"/>
        <c:noMultiLvlLbl val="0"/>
      </c:catAx>
      <c:valAx>
        <c:axId val="175703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73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[mini_project_final.xlsx]Sheet3!PivotTable4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 Wise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Sheet3!$B$43</c:f>
              <c:strCache>
                <c:ptCount val="1"/>
                <c:pt idx="0">
                  <c:v>Total</c:v>
                </c:pt>
              </c:strCache>
            </c:strRef>
          </c:tx>
          <c:spPr>
            <a:solidFill>
              <a:schemeClr val="accent1"/>
            </a:solidFill>
            <a:ln>
              <a:noFill/>
            </a:ln>
            <a:effectLst/>
          </c:spPr>
          <c:invertIfNegative val="0"/>
          <c:cat>
            <c:strRef>
              <c:f>Sheet3!$A$44:$A$45</c:f>
              <c:strCache>
                <c:ptCount val="1"/>
                <c:pt idx="0">
                  <c:v>Pune</c:v>
                </c:pt>
              </c:strCache>
            </c:strRef>
          </c:cat>
          <c:val>
            <c:numRef>
              <c:f>Sheet3!$B$44:$B$45</c:f>
              <c:numCache>
                <c:formatCode>General</c:formatCode>
                <c:ptCount val="1"/>
                <c:pt idx="0">
                  <c:v>8</c:v>
                </c:pt>
              </c:numCache>
            </c:numRef>
          </c:val>
          <c:extLst>
            <c:ext xmlns:c16="http://schemas.microsoft.com/office/drawing/2014/chart" uri="{C3380CC4-5D6E-409C-BE32-E72D297353CC}">
              <c16:uniqueId val="{00000000-5D7A-4805-882D-0B756DC89270}"/>
            </c:ext>
          </c:extLst>
        </c:ser>
        <c:dLbls>
          <c:showLegendKey val="0"/>
          <c:showVal val="0"/>
          <c:showCatName val="0"/>
          <c:showSerName val="0"/>
          <c:showPercent val="0"/>
          <c:showBubbleSize val="0"/>
        </c:dLbls>
        <c:gapWidth val="182"/>
        <c:axId val="262781392"/>
        <c:axId val="175725584"/>
      </c:barChart>
      <c:catAx>
        <c:axId val="262781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25584"/>
        <c:crosses val="autoZero"/>
        <c:auto val="1"/>
        <c:lblAlgn val="ctr"/>
        <c:lblOffset val="100"/>
        <c:noMultiLvlLbl val="0"/>
      </c:catAx>
      <c:valAx>
        <c:axId val="175725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78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403860</xdr:colOff>
      <xdr:row>15</xdr:row>
      <xdr:rowOff>87630</xdr:rowOff>
    </xdr:from>
    <xdr:to>
      <xdr:col>5</xdr:col>
      <xdr:colOff>373380</xdr:colOff>
      <xdr:row>30</xdr:row>
      <xdr:rowOff>87630</xdr:rowOff>
    </xdr:to>
    <xdr:graphicFrame macro="">
      <xdr:nvGraphicFramePr>
        <xdr:cNvPr id="3" name="Chart 2">
          <a:extLst>
            <a:ext uri="{FF2B5EF4-FFF2-40B4-BE49-F238E27FC236}">
              <a16:creationId xmlns:a16="http://schemas.microsoft.com/office/drawing/2014/main" id="{414F568F-1C59-E005-547B-B3628A9126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967740</xdr:colOff>
      <xdr:row>28</xdr:row>
      <xdr:rowOff>19050</xdr:rowOff>
    </xdr:from>
    <xdr:to>
      <xdr:col>11</xdr:col>
      <xdr:colOff>332700</xdr:colOff>
      <xdr:row>42</xdr:row>
      <xdr:rowOff>158730</xdr:rowOff>
    </xdr:to>
    <xdr:graphicFrame macro="">
      <xdr:nvGraphicFramePr>
        <xdr:cNvPr id="4" name="Chart 3">
          <a:extLst>
            <a:ext uri="{FF2B5EF4-FFF2-40B4-BE49-F238E27FC236}">
              <a16:creationId xmlns:a16="http://schemas.microsoft.com/office/drawing/2014/main" id="{8694CB90-5EF3-E423-6B83-923005A0B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876300</xdr:colOff>
      <xdr:row>21</xdr:row>
      <xdr:rowOff>57150</xdr:rowOff>
    </xdr:from>
    <xdr:to>
      <xdr:col>11</xdr:col>
      <xdr:colOff>230040</xdr:colOff>
      <xdr:row>30</xdr:row>
      <xdr:rowOff>139230</xdr:rowOff>
    </xdr:to>
    <xdr:graphicFrame macro="">
      <xdr:nvGraphicFramePr>
        <xdr:cNvPr id="5" name="Chart 4">
          <a:extLst>
            <a:ext uri="{FF2B5EF4-FFF2-40B4-BE49-F238E27FC236}">
              <a16:creationId xmlns:a16="http://schemas.microsoft.com/office/drawing/2014/main" id="{E49647FC-A693-4A42-B52E-28980335B5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419100</xdr:colOff>
      <xdr:row>56</xdr:row>
      <xdr:rowOff>41910</xdr:rowOff>
    </xdr:from>
    <xdr:to>
      <xdr:col>8</xdr:col>
      <xdr:colOff>769620</xdr:colOff>
      <xdr:row>71</xdr:row>
      <xdr:rowOff>41910</xdr:rowOff>
    </xdr:to>
    <xdr:graphicFrame macro="">
      <xdr:nvGraphicFramePr>
        <xdr:cNvPr id="7" name="Chart 6">
          <a:extLst>
            <a:ext uri="{FF2B5EF4-FFF2-40B4-BE49-F238E27FC236}">
              <a16:creationId xmlns:a16="http://schemas.microsoft.com/office/drawing/2014/main" id="{76D44F3F-F990-F5D6-FA1C-A73721EEA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274320</xdr:colOff>
      <xdr:row>71</xdr:row>
      <xdr:rowOff>57150</xdr:rowOff>
    </xdr:from>
    <xdr:to>
      <xdr:col>10</xdr:col>
      <xdr:colOff>121920</xdr:colOff>
      <xdr:row>86</xdr:row>
      <xdr:rowOff>57150</xdr:rowOff>
    </xdr:to>
    <xdr:graphicFrame macro="">
      <xdr:nvGraphicFramePr>
        <xdr:cNvPr id="13" name="Chart 12">
          <a:extLst>
            <a:ext uri="{FF2B5EF4-FFF2-40B4-BE49-F238E27FC236}">
              <a16:creationId xmlns:a16="http://schemas.microsoft.com/office/drawing/2014/main" id="{5788832B-7AE5-B52A-A91D-B4E3CA947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335280</xdr:colOff>
      <xdr:row>0</xdr:row>
      <xdr:rowOff>22860</xdr:rowOff>
    </xdr:from>
    <xdr:to>
      <xdr:col>12</xdr:col>
      <xdr:colOff>297180</xdr:colOff>
      <xdr:row>11</xdr:row>
      <xdr:rowOff>91440</xdr:rowOff>
    </xdr:to>
    <xdr:graphicFrame macro="">
      <xdr:nvGraphicFramePr>
        <xdr:cNvPr id="2" name="Chart 1">
          <a:extLst>
            <a:ext uri="{FF2B5EF4-FFF2-40B4-BE49-F238E27FC236}">
              <a16:creationId xmlns:a16="http://schemas.microsoft.com/office/drawing/2014/main" id="{48ABCBDF-52C3-4C5E-8C19-26852B0C9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22860</xdr:colOff>
      <xdr:row>11</xdr:row>
      <xdr:rowOff>106680</xdr:rowOff>
    </xdr:from>
    <xdr:to>
      <xdr:col>23</xdr:col>
      <xdr:colOff>99060</xdr:colOff>
      <xdr:row>24</xdr:row>
      <xdr:rowOff>114300</xdr:rowOff>
    </xdr:to>
    <xdr:graphicFrame macro="">
      <xdr:nvGraphicFramePr>
        <xdr:cNvPr id="3" name="Chart 2">
          <a:extLst>
            <a:ext uri="{FF2B5EF4-FFF2-40B4-BE49-F238E27FC236}">
              <a16:creationId xmlns:a16="http://schemas.microsoft.com/office/drawing/2014/main" id="{A272A93C-7AB0-4331-BA52-D89415DA5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8</xdr:row>
      <xdr:rowOff>22860</xdr:rowOff>
    </xdr:from>
    <xdr:to>
      <xdr:col>3</xdr:col>
      <xdr:colOff>381000</xdr:colOff>
      <xdr:row>24</xdr:row>
      <xdr:rowOff>114300</xdr:rowOff>
    </xdr:to>
    <xdr:graphicFrame macro="">
      <xdr:nvGraphicFramePr>
        <xdr:cNvPr id="4" name="Chart 3">
          <a:extLst>
            <a:ext uri="{FF2B5EF4-FFF2-40B4-BE49-F238E27FC236}">
              <a16:creationId xmlns:a16="http://schemas.microsoft.com/office/drawing/2014/main" id="{86E4B7B1-72E0-4C19-96C9-83156351B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381000</xdr:colOff>
      <xdr:row>11</xdr:row>
      <xdr:rowOff>45720</xdr:rowOff>
    </xdr:from>
    <xdr:to>
      <xdr:col>12</xdr:col>
      <xdr:colOff>38100</xdr:colOff>
      <xdr:row>24</xdr:row>
      <xdr:rowOff>106680</xdr:rowOff>
    </xdr:to>
    <xdr:graphicFrame macro="">
      <xdr:nvGraphicFramePr>
        <xdr:cNvPr id="7" name="Chart 6">
          <a:extLst>
            <a:ext uri="{FF2B5EF4-FFF2-40B4-BE49-F238E27FC236}">
              <a16:creationId xmlns:a16="http://schemas.microsoft.com/office/drawing/2014/main" id="{98EFDB4E-0AFA-4007-9FBE-54A1E17E1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213360</xdr:colOff>
      <xdr:row>0</xdr:row>
      <xdr:rowOff>30480</xdr:rowOff>
    </xdr:from>
    <xdr:to>
      <xdr:col>23</xdr:col>
      <xdr:colOff>99060</xdr:colOff>
      <xdr:row>11</xdr:row>
      <xdr:rowOff>99060</xdr:rowOff>
    </xdr:to>
    <xdr:graphicFrame macro="">
      <xdr:nvGraphicFramePr>
        <xdr:cNvPr id="10" name="Chart 9">
          <a:extLst>
            <a:ext uri="{FF2B5EF4-FFF2-40B4-BE49-F238E27FC236}">
              <a16:creationId xmlns:a16="http://schemas.microsoft.com/office/drawing/2014/main" id="{F3867899-867F-446C-8848-5E3198382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297180</xdr:colOff>
      <xdr:row>0</xdr:row>
      <xdr:rowOff>22860</xdr:rowOff>
    </xdr:from>
    <xdr:to>
      <xdr:col>18</xdr:col>
      <xdr:colOff>228600</xdr:colOff>
      <xdr:row>11</xdr:row>
      <xdr:rowOff>106680</xdr:rowOff>
    </xdr:to>
    <xdr:graphicFrame macro="">
      <xdr:nvGraphicFramePr>
        <xdr:cNvPr id="11" name="Chart 10">
          <a:extLst>
            <a:ext uri="{FF2B5EF4-FFF2-40B4-BE49-F238E27FC236}">
              <a16:creationId xmlns:a16="http://schemas.microsoft.com/office/drawing/2014/main" id="{27520F74-7573-4085-A2D3-715B71EF2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7621</xdr:rowOff>
    </xdr:from>
    <xdr:to>
      <xdr:col>3</xdr:col>
      <xdr:colOff>304800</xdr:colOff>
      <xdr:row>7</xdr:row>
      <xdr:rowOff>160020</xdr:rowOff>
    </xdr:to>
    <mc:AlternateContent xmlns:mc="http://schemas.openxmlformats.org/markup-compatibility/2006" xmlns:a14="http://schemas.microsoft.com/office/drawing/2010/main">
      <mc:Choice Requires="a14">
        <xdr:graphicFrame macro="">
          <xdr:nvGraphicFramePr>
            <xdr:cNvPr id="26" name="Months (Date)">
              <a:extLst>
                <a:ext uri="{FF2B5EF4-FFF2-40B4-BE49-F238E27FC236}">
                  <a16:creationId xmlns:a16="http://schemas.microsoft.com/office/drawing/2014/main" id="{EFEB5BCC-0BDA-9ECC-B60A-0D2066DD8980}"/>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0" y="7621"/>
              <a:ext cx="2133600" cy="1432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205740</xdr:colOff>
      <xdr:row>2</xdr:row>
      <xdr:rowOff>179070</xdr:rowOff>
    </xdr:from>
    <xdr:to>
      <xdr:col>9</xdr:col>
      <xdr:colOff>510540</xdr:colOff>
      <xdr:row>17</xdr:row>
      <xdr:rowOff>179070</xdr:rowOff>
    </xdr:to>
    <xdr:graphicFrame macro="">
      <xdr:nvGraphicFramePr>
        <xdr:cNvPr id="5" name="Chart 4">
          <a:extLst>
            <a:ext uri="{FF2B5EF4-FFF2-40B4-BE49-F238E27FC236}">
              <a16:creationId xmlns:a16="http://schemas.microsoft.com/office/drawing/2014/main" id="{92E43729-5E51-460A-D32A-7A5184975F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42</xdr:row>
      <xdr:rowOff>0</xdr:rowOff>
    </xdr:from>
    <xdr:to>
      <xdr:col>10</xdr:col>
      <xdr:colOff>304800</xdr:colOff>
      <xdr:row>57</xdr:row>
      <xdr:rowOff>0</xdr:rowOff>
    </xdr:to>
    <xdr:graphicFrame macro="">
      <xdr:nvGraphicFramePr>
        <xdr:cNvPr id="7" name="Chart 6">
          <a:extLst>
            <a:ext uri="{FF2B5EF4-FFF2-40B4-BE49-F238E27FC236}">
              <a16:creationId xmlns:a16="http://schemas.microsoft.com/office/drawing/2014/main" id="{A5C0212C-72AA-4ED5-B801-C082139D5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59</xdr:row>
      <xdr:rowOff>0</xdr:rowOff>
    </xdr:from>
    <xdr:to>
      <xdr:col>10</xdr:col>
      <xdr:colOff>304800</xdr:colOff>
      <xdr:row>74</xdr:row>
      <xdr:rowOff>0</xdr:rowOff>
    </xdr:to>
    <xdr:graphicFrame macro="">
      <xdr:nvGraphicFramePr>
        <xdr:cNvPr id="8" name="Chart 7">
          <a:extLst>
            <a:ext uri="{FF2B5EF4-FFF2-40B4-BE49-F238E27FC236}">
              <a16:creationId xmlns:a16="http://schemas.microsoft.com/office/drawing/2014/main" id="{D9B989A3-7246-4785-B424-D07A76BF1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297180</xdr:colOff>
      <xdr:row>3</xdr:row>
      <xdr:rowOff>30480</xdr:rowOff>
    </xdr:from>
    <xdr:to>
      <xdr:col>14</xdr:col>
      <xdr:colOff>297180</xdr:colOff>
      <xdr:row>16</xdr:row>
      <xdr:rowOff>120015</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0E2EEACB-CE92-D5AC-0E5C-74D9277FFA4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465820" y="579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464820</xdr:colOff>
      <xdr:row>9</xdr:row>
      <xdr:rowOff>7620</xdr:rowOff>
    </xdr:from>
    <xdr:to>
      <xdr:col>9</xdr:col>
      <xdr:colOff>464820</xdr:colOff>
      <xdr:row>22</xdr:row>
      <xdr:rowOff>97155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1930F92E-19CB-AFEF-E9CA-6F68AB36120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585460" y="1653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594360</xdr:colOff>
      <xdr:row>24</xdr:row>
      <xdr:rowOff>19050</xdr:rowOff>
    </xdr:from>
    <xdr:to>
      <xdr:col>10</xdr:col>
      <xdr:colOff>289560</xdr:colOff>
      <xdr:row>39</xdr:row>
      <xdr:rowOff>19050</xdr:rowOff>
    </xdr:to>
    <xdr:graphicFrame macro="">
      <xdr:nvGraphicFramePr>
        <xdr:cNvPr id="13" name="Chart 12">
          <a:extLst>
            <a:ext uri="{FF2B5EF4-FFF2-40B4-BE49-F238E27FC236}">
              <a16:creationId xmlns:a16="http://schemas.microsoft.com/office/drawing/2014/main" id="{E83ADECA-E355-500A-2186-9B7D26841B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236220</xdr:colOff>
      <xdr:row>47</xdr:row>
      <xdr:rowOff>125730</xdr:rowOff>
    </xdr:from>
    <xdr:to>
      <xdr:col>19</xdr:col>
      <xdr:colOff>541020</xdr:colOff>
      <xdr:row>62</xdr:row>
      <xdr:rowOff>125730</xdr:rowOff>
    </xdr:to>
    <xdr:graphicFrame macro="">
      <xdr:nvGraphicFramePr>
        <xdr:cNvPr id="14" name="Chart 13">
          <a:extLst>
            <a:ext uri="{FF2B5EF4-FFF2-40B4-BE49-F238E27FC236}">
              <a16:creationId xmlns:a16="http://schemas.microsoft.com/office/drawing/2014/main" id="{7E96D712-265A-7F0C-8681-F24F0F3EA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411480</xdr:colOff>
      <xdr:row>13</xdr:row>
      <xdr:rowOff>76200</xdr:rowOff>
    </xdr:from>
    <xdr:to>
      <xdr:col>14</xdr:col>
      <xdr:colOff>419100</xdr:colOff>
      <xdr:row>25</xdr:row>
      <xdr:rowOff>22860</xdr:rowOff>
    </xdr:to>
    <xdr:graphicFrame macro="">
      <xdr:nvGraphicFramePr>
        <xdr:cNvPr id="4" name="Chart 3">
          <a:extLst>
            <a:ext uri="{FF2B5EF4-FFF2-40B4-BE49-F238E27FC236}">
              <a16:creationId xmlns:a16="http://schemas.microsoft.com/office/drawing/2014/main" id="{72241EDF-CF7E-4B80-AA15-D7E33B288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426720</xdr:colOff>
      <xdr:row>13</xdr:row>
      <xdr:rowOff>45720</xdr:rowOff>
    </xdr:from>
    <xdr:to>
      <xdr:col>23</xdr:col>
      <xdr:colOff>53340</xdr:colOff>
      <xdr:row>25</xdr:row>
      <xdr:rowOff>7620</xdr:rowOff>
    </xdr:to>
    <xdr:graphicFrame macro="">
      <xdr:nvGraphicFramePr>
        <xdr:cNvPr id="5" name="Chart 4">
          <a:extLst>
            <a:ext uri="{FF2B5EF4-FFF2-40B4-BE49-F238E27FC236}">
              <a16:creationId xmlns:a16="http://schemas.microsoft.com/office/drawing/2014/main" id="{15969085-A154-4324-9D10-B92D29267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358140</xdr:colOff>
      <xdr:row>0</xdr:row>
      <xdr:rowOff>7620</xdr:rowOff>
    </xdr:from>
    <xdr:to>
      <xdr:col>14</xdr:col>
      <xdr:colOff>403860</xdr:colOff>
      <xdr:row>2</xdr:row>
      <xdr:rowOff>30480</xdr:rowOff>
    </xdr:to>
    <xdr:sp macro="" textlink="">
      <xdr:nvSpPr>
        <xdr:cNvPr id="6" name="TextBox 5">
          <a:extLst>
            <a:ext uri="{FF2B5EF4-FFF2-40B4-BE49-F238E27FC236}">
              <a16:creationId xmlns:a16="http://schemas.microsoft.com/office/drawing/2014/main" id="{DF91E627-AF7A-E53D-DDFD-2619780CAF85}"/>
            </a:ext>
          </a:extLst>
        </xdr:cNvPr>
        <xdr:cNvSpPr txBox="1"/>
      </xdr:nvSpPr>
      <xdr:spPr>
        <a:xfrm>
          <a:off x="4015740" y="7620"/>
          <a:ext cx="4922520" cy="388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a:t>SALES ANALYSIS DASHBOARD</a:t>
          </a:r>
        </a:p>
      </xdr:txBody>
    </xdr:sp>
    <xdr:clientData/>
  </xdr:twoCellAnchor>
  <xdr:twoCellAnchor editAs="oneCell">
    <xdr:from>
      <xdr:col>0</xdr:col>
      <xdr:colOff>0</xdr:colOff>
      <xdr:row>2</xdr:row>
      <xdr:rowOff>38100</xdr:rowOff>
    </xdr:from>
    <xdr:to>
      <xdr:col>3</xdr:col>
      <xdr:colOff>0</xdr:colOff>
      <xdr:row>18</xdr:row>
      <xdr:rowOff>106680</xdr:rowOff>
    </xdr:to>
    <mc:AlternateContent xmlns:mc="http://schemas.openxmlformats.org/markup-compatibility/2006" xmlns:a14="http://schemas.microsoft.com/office/drawing/2010/main">
      <mc:Choice Requires="a14">
        <xdr:graphicFrame macro="">
          <xdr:nvGraphicFramePr>
            <xdr:cNvPr id="8" name="City 1">
              <a:extLst>
                <a:ext uri="{FF2B5EF4-FFF2-40B4-BE49-F238E27FC236}">
                  <a16:creationId xmlns:a16="http://schemas.microsoft.com/office/drawing/2014/main" id="{B10E55D5-654F-4413-B92A-3E2D98E5CA0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403860"/>
              <a:ext cx="1828800" cy="2994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137160</xdr:rowOff>
    </xdr:from>
    <xdr:to>
      <xdr:col>3</xdr:col>
      <xdr:colOff>0</xdr:colOff>
      <xdr:row>25</xdr:row>
      <xdr:rowOff>0</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02F4ED2F-556A-487B-A9D2-C3181698102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3429000"/>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137160</xdr:colOff>
      <xdr:row>3</xdr:row>
      <xdr:rowOff>68580</xdr:rowOff>
    </xdr:from>
    <xdr:to>
      <xdr:col>5</xdr:col>
      <xdr:colOff>243840</xdr:colOff>
      <xdr:row>5</xdr:row>
      <xdr:rowOff>137160</xdr:rowOff>
    </xdr:to>
    <xdr:sp macro="" textlink="">
      <xdr:nvSpPr>
        <xdr:cNvPr id="11" name="Rectangle 10">
          <a:extLst>
            <a:ext uri="{FF2B5EF4-FFF2-40B4-BE49-F238E27FC236}">
              <a16:creationId xmlns:a16="http://schemas.microsoft.com/office/drawing/2014/main" id="{869EB8EE-5E34-8A74-EB95-457A46A410B5}"/>
            </a:ext>
          </a:extLst>
        </xdr:cNvPr>
        <xdr:cNvSpPr/>
      </xdr:nvSpPr>
      <xdr:spPr>
        <a:xfrm>
          <a:off x="1965960" y="617220"/>
          <a:ext cx="1325880" cy="4343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solidFill>
                <a:sysClr val="windowText" lastClr="000000"/>
              </a:solidFill>
            </a:rPr>
            <a:t>TOTAL SALES</a:t>
          </a:r>
          <a:br>
            <a:rPr lang="en-IN">
              <a:solidFill>
                <a:sysClr val="windowText" lastClr="000000"/>
              </a:solidFill>
            </a:rPr>
          </a:br>
          <a:r>
            <a:rPr lang="en-IN" b="1">
              <a:solidFill>
                <a:sysClr val="windowText" lastClr="000000"/>
              </a:solidFill>
            </a:rPr>
            <a:t>12,397,528</a:t>
          </a:r>
          <a:endParaRPr lang="en-IN" sz="1100">
            <a:solidFill>
              <a:sysClr val="windowText" lastClr="000000"/>
            </a:solidFill>
          </a:endParaRPr>
        </a:p>
      </xdr:txBody>
    </xdr:sp>
    <xdr:clientData/>
  </xdr:twoCellAnchor>
  <xdr:twoCellAnchor>
    <xdr:from>
      <xdr:col>3</xdr:col>
      <xdr:colOff>175260</xdr:colOff>
      <xdr:row>12</xdr:row>
      <xdr:rowOff>91440</xdr:rowOff>
    </xdr:from>
    <xdr:to>
      <xdr:col>5</xdr:col>
      <xdr:colOff>281940</xdr:colOff>
      <xdr:row>15</xdr:row>
      <xdr:rowOff>45720</xdr:rowOff>
    </xdr:to>
    <xdr:sp macro="" textlink="">
      <xdr:nvSpPr>
        <xdr:cNvPr id="18" name="Rectangle 17">
          <a:extLst>
            <a:ext uri="{FF2B5EF4-FFF2-40B4-BE49-F238E27FC236}">
              <a16:creationId xmlns:a16="http://schemas.microsoft.com/office/drawing/2014/main" id="{004A1A72-557F-45D5-B46C-DCCA9D2CB56E}"/>
            </a:ext>
          </a:extLst>
        </xdr:cNvPr>
        <xdr:cNvSpPr/>
      </xdr:nvSpPr>
      <xdr:spPr>
        <a:xfrm>
          <a:off x="2004060" y="2286000"/>
          <a:ext cx="1325880" cy="5029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solidFill>
                <a:sysClr val="windowText" lastClr="000000"/>
              </a:solidFill>
            </a:rPr>
            <a:t>AVERAGE SALES</a:t>
          </a:r>
          <a:br>
            <a:rPr lang="en-IN">
              <a:solidFill>
                <a:sysClr val="windowText" lastClr="000000"/>
              </a:solidFill>
            </a:rPr>
          </a:br>
          <a:r>
            <a:rPr lang="en-IN" b="1">
              <a:solidFill>
                <a:sysClr val="windowText" lastClr="000000"/>
              </a:solidFill>
            </a:rPr>
            <a:t>24,795.06</a:t>
          </a:r>
          <a:endParaRPr lang="en-IN" sz="1100">
            <a:solidFill>
              <a:sysClr val="windowText" lastClr="000000"/>
            </a:solidFill>
          </a:endParaRPr>
        </a:p>
      </xdr:txBody>
    </xdr:sp>
    <xdr:clientData/>
  </xdr:twoCellAnchor>
  <xdr:twoCellAnchor>
    <xdr:from>
      <xdr:col>3</xdr:col>
      <xdr:colOff>175260</xdr:colOff>
      <xdr:row>17</xdr:row>
      <xdr:rowOff>38100</xdr:rowOff>
    </xdr:from>
    <xdr:to>
      <xdr:col>5</xdr:col>
      <xdr:colOff>281940</xdr:colOff>
      <xdr:row>19</xdr:row>
      <xdr:rowOff>175260</xdr:rowOff>
    </xdr:to>
    <xdr:sp macro="" textlink="">
      <xdr:nvSpPr>
        <xdr:cNvPr id="19" name="Rectangle 18">
          <a:extLst>
            <a:ext uri="{FF2B5EF4-FFF2-40B4-BE49-F238E27FC236}">
              <a16:creationId xmlns:a16="http://schemas.microsoft.com/office/drawing/2014/main" id="{8F584193-6952-4163-9A46-576701B6C363}"/>
            </a:ext>
          </a:extLst>
        </xdr:cNvPr>
        <xdr:cNvSpPr/>
      </xdr:nvSpPr>
      <xdr:spPr>
        <a:xfrm>
          <a:off x="2004060" y="3147060"/>
          <a:ext cx="1325880" cy="5029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solidFill>
                <a:sysClr val="windowText" lastClr="000000"/>
              </a:solidFill>
            </a:rPr>
            <a:t>MAXIMUM SALES</a:t>
          </a:r>
          <a:br>
            <a:rPr lang="en-IN">
              <a:solidFill>
                <a:sysClr val="windowText" lastClr="000000"/>
              </a:solidFill>
            </a:rPr>
          </a:br>
          <a:r>
            <a:rPr lang="en-IN" b="1">
              <a:solidFill>
                <a:sysClr val="windowText" lastClr="000000"/>
              </a:solidFill>
            </a:rPr>
            <a:t>94,047</a:t>
          </a:r>
          <a:endParaRPr lang="en-IN" sz="1100">
            <a:solidFill>
              <a:sysClr val="windowText" lastClr="000000"/>
            </a:solidFill>
          </a:endParaRPr>
        </a:p>
      </xdr:txBody>
    </xdr:sp>
    <xdr:clientData/>
  </xdr:twoCellAnchor>
  <xdr:twoCellAnchor>
    <xdr:from>
      <xdr:col>3</xdr:col>
      <xdr:colOff>144780</xdr:colOff>
      <xdr:row>22</xdr:row>
      <xdr:rowOff>7620</xdr:rowOff>
    </xdr:from>
    <xdr:to>
      <xdr:col>5</xdr:col>
      <xdr:colOff>251460</xdr:colOff>
      <xdr:row>24</xdr:row>
      <xdr:rowOff>144780</xdr:rowOff>
    </xdr:to>
    <xdr:sp macro="" textlink="">
      <xdr:nvSpPr>
        <xdr:cNvPr id="20" name="Rectangle 19">
          <a:extLst>
            <a:ext uri="{FF2B5EF4-FFF2-40B4-BE49-F238E27FC236}">
              <a16:creationId xmlns:a16="http://schemas.microsoft.com/office/drawing/2014/main" id="{D7B0AEDA-1FBF-4BAC-9CEF-98A6D1190A55}"/>
            </a:ext>
          </a:extLst>
        </xdr:cNvPr>
        <xdr:cNvSpPr/>
      </xdr:nvSpPr>
      <xdr:spPr>
        <a:xfrm>
          <a:off x="1973580" y="4030980"/>
          <a:ext cx="1325880" cy="5029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solidFill>
                <a:sysClr val="windowText" lastClr="000000"/>
              </a:solidFill>
            </a:rPr>
            <a:t>MINIMUM SALES</a:t>
          </a:r>
          <a:br>
            <a:rPr lang="en-IN">
              <a:solidFill>
                <a:sysClr val="windowText" lastClr="000000"/>
              </a:solidFill>
            </a:rPr>
          </a:br>
          <a:r>
            <a:rPr lang="en-IN" b="1">
              <a:solidFill>
                <a:sysClr val="windowText" lastClr="000000"/>
              </a:solidFill>
            </a:rPr>
            <a:t>75</a:t>
          </a:r>
          <a:endParaRPr lang="en-IN" sz="1100">
            <a:solidFill>
              <a:sysClr val="windowText" lastClr="000000"/>
            </a:solidFill>
          </a:endParaRPr>
        </a:p>
      </xdr:txBody>
    </xdr:sp>
    <xdr:clientData/>
  </xdr:twoCellAnchor>
  <xdr:twoCellAnchor>
    <xdr:from>
      <xdr:col>5</xdr:col>
      <xdr:colOff>419100</xdr:colOff>
      <xdr:row>2</xdr:row>
      <xdr:rowOff>38100</xdr:rowOff>
    </xdr:from>
    <xdr:to>
      <xdr:col>14</xdr:col>
      <xdr:colOff>449580</xdr:colOff>
      <xdr:row>13</xdr:row>
      <xdr:rowOff>76200</xdr:rowOff>
    </xdr:to>
    <xdr:graphicFrame macro="">
      <xdr:nvGraphicFramePr>
        <xdr:cNvPr id="21" name="Chart 20">
          <a:extLst>
            <a:ext uri="{FF2B5EF4-FFF2-40B4-BE49-F238E27FC236}">
              <a16:creationId xmlns:a16="http://schemas.microsoft.com/office/drawing/2014/main" id="{FBA2D8E3-E28A-4B6A-9CF0-2F6662484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426720</xdr:colOff>
      <xdr:row>0</xdr:row>
      <xdr:rowOff>15240</xdr:rowOff>
    </xdr:from>
    <xdr:to>
      <xdr:col>23</xdr:col>
      <xdr:colOff>53340</xdr:colOff>
      <xdr:row>13</xdr:row>
      <xdr:rowOff>76200</xdr:rowOff>
    </xdr:to>
    <xdr:graphicFrame macro="">
      <xdr:nvGraphicFramePr>
        <xdr:cNvPr id="22" name="Chart 21">
          <a:extLst>
            <a:ext uri="{FF2B5EF4-FFF2-40B4-BE49-F238E27FC236}">
              <a16:creationId xmlns:a16="http://schemas.microsoft.com/office/drawing/2014/main" id="{154DB98F-255A-4A9D-9987-310D33ABB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144780</xdr:colOff>
      <xdr:row>7</xdr:row>
      <xdr:rowOff>121920</xdr:rowOff>
    </xdr:from>
    <xdr:to>
      <xdr:col>5</xdr:col>
      <xdr:colOff>251460</xdr:colOff>
      <xdr:row>10</xdr:row>
      <xdr:rowOff>76200</xdr:rowOff>
    </xdr:to>
    <xdr:sp macro="" textlink="">
      <xdr:nvSpPr>
        <xdr:cNvPr id="2" name="Rectangle 1">
          <a:extLst>
            <a:ext uri="{FF2B5EF4-FFF2-40B4-BE49-F238E27FC236}">
              <a16:creationId xmlns:a16="http://schemas.microsoft.com/office/drawing/2014/main" id="{EEFDE0A5-944D-42A3-A818-213C84423817}"/>
            </a:ext>
          </a:extLst>
        </xdr:cNvPr>
        <xdr:cNvSpPr/>
      </xdr:nvSpPr>
      <xdr:spPr>
        <a:xfrm>
          <a:off x="1973580" y="1402080"/>
          <a:ext cx="1325880" cy="5029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solidFill>
                <a:sysClr val="windowText" lastClr="000000"/>
              </a:solidFill>
            </a:rPr>
            <a:t>TOTAL UNITS</a:t>
          </a:r>
          <a:r>
            <a:rPr lang="en-IN" b="1" baseline="0">
              <a:solidFill>
                <a:sysClr val="windowText" lastClr="000000"/>
              </a:solidFill>
            </a:rPr>
            <a:t> SOLD</a:t>
          </a:r>
        </a:p>
        <a:p>
          <a:pPr algn="l"/>
          <a:r>
            <a:rPr lang="en-IN" sz="1100" b="1" baseline="0">
              <a:solidFill>
                <a:sysClr val="windowText" lastClr="000000"/>
              </a:solidFill>
            </a:rPr>
            <a:t>13,039</a:t>
          </a:r>
          <a:endParaRPr lang="en-IN" sz="1100">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Gaikwad" refreshedDate="46251.759663425924" createdVersion="8" refreshedVersion="8" minRefreshableVersion="3" recordCount="500" xr:uid="{5B95E6A6-3DCC-4C95-A6DF-BB508CB39475}">
  <cacheSource type="worksheet">
    <worksheetSource ref="A1:H501" sheet="Raw_Data"/>
  </cacheSource>
  <cacheFields count="10">
    <cacheField name="Date" numFmtId="164">
      <sharedItems containsSemiMixedTypes="0" containsNonDate="0" containsDate="1" containsString="0" minDate="2021-01-01T00:00:00" maxDate="2022-01-01T00:00:00" count="275">
        <d v="2021-09-20T00:00:00"/>
        <d v="2021-09-21T00:00:00"/>
        <d v="2021-10-29T00:00:00"/>
        <d v="2021-07-18T00:00:00"/>
        <d v="2021-02-06T00:00:00"/>
        <d v="2021-11-28T00:00:00"/>
        <d v="2021-10-22T00:00:00"/>
        <d v="2021-01-18T00:00:00"/>
        <d v="2021-07-21T00:00:00"/>
        <d v="2021-04-15T00:00:00"/>
        <d v="2021-01-09T00:00:00"/>
        <d v="2021-08-11T00:00:00"/>
        <d v="2021-03-30T00:00:00"/>
        <d v="2021-12-01T00:00:00"/>
        <d v="2021-03-31T00:00:00"/>
        <d v="2021-04-18T00:00:00"/>
        <d v="2021-08-08T00:00:00"/>
        <d v="2021-06-01T00:00:00"/>
        <d v="2021-11-12T00:00:00"/>
        <d v="2021-08-20T00:00:00"/>
        <d v="2021-04-27T00:00:00"/>
        <d v="2021-07-19T00:00:00"/>
        <d v="2021-03-11T00:00:00"/>
        <d v="2021-05-17T00:00:00"/>
        <d v="2021-06-06T00:00:00"/>
        <d v="2021-01-10T00:00:00"/>
        <d v="2021-10-25T00:00:00"/>
        <d v="2021-10-05T00:00:00"/>
        <d v="2021-01-01T00:00:00"/>
        <d v="2021-04-28T00:00:00"/>
        <d v="2021-04-19T00:00:00"/>
        <d v="2021-09-03T00:00:00"/>
        <d v="2021-06-16T00:00:00"/>
        <d v="2021-03-03T00:00:00"/>
        <d v="2021-03-24T00:00:00"/>
        <d v="2021-06-09T00:00:00"/>
        <d v="2021-07-01T00:00:00"/>
        <d v="2021-11-03T00:00:00"/>
        <d v="2021-09-27T00:00:00"/>
        <d v="2021-07-25T00:00:00"/>
        <d v="2021-08-02T00:00:00"/>
        <d v="2021-08-09T00:00:00"/>
        <d v="2021-07-22T00:00:00"/>
        <d v="2021-10-14T00:00:00"/>
        <d v="2021-04-30T00:00:00"/>
        <d v="2021-08-13T00:00:00"/>
        <d v="2021-03-12T00:00:00"/>
        <d v="2021-02-16T00:00:00"/>
        <d v="2021-07-29T00:00:00"/>
        <d v="2021-09-16T00:00:00"/>
        <d v="2021-11-02T00:00:00"/>
        <d v="2021-03-13T00:00:00"/>
        <d v="2021-01-15T00:00:00"/>
        <d v="2021-07-11T00:00:00"/>
        <d v="2021-05-12T00:00:00"/>
        <d v="2021-02-20T00:00:00"/>
        <d v="2021-04-14T00:00:00"/>
        <d v="2021-10-03T00:00:00"/>
        <d v="2021-12-22T00:00:00"/>
        <d v="2021-03-09T00:00:00"/>
        <d v="2021-04-11T00:00:00"/>
        <d v="2021-12-04T00:00:00"/>
        <d v="2021-07-17T00:00:00"/>
        <d v="2021-08-24T00:00:00"/>
        <d v="2021-02-08T00:00:00"/>
        <d v="2021-09-08T00:00:00"/>
        <d v="2021-05-29T00:00:00"/>
        <d v="2021-09-17T00:00:00"/>
        <d v="2021-06-05T00:00:00"/>
        <d v="2021-07-26T00:00:00"/>
        <d v="2021-09-18T00:00:00"/>
        <d v="2021-02-21T00:00:00"/>
        <d v="2021-12-13T00:00:00"/>
        <d v="2021-04-05T00:00:00"/>
        <d v="2021-03-29T00:00:00"/>
        <d v="2021-10-17T00:00:00"/>
        <d v="2021-09-24T00:00:00"/>
        <d v="2021-04-26T00:00:00"/>
        <d v="2021-10-21T00:00:00"/>
        <d v="2021-01-19T00:00:00"/>
        <d v="2021-11-06T00:00:00"/>
        <d v="2021-03-14T00:00:00"/>
        <d v="2021-05-20T00:00:00"/>
        <d v="2021-11-25T00:00:00"/>
        <d v="2021-05-25T00:00:00"/>
        <d v="2021-11-22T00:00:00"/>
        <d v="2021-12-31T00:00:00"/>
        <d v="2021-09-30T00:00:00"/>
        <d v="2021-07-15T00:00:00"/>
        <d v="2021-03-25T00:00:00"/>
        <d v="2021-12-02T00:00:00"/>
        <d v="2021-06-14T00:00:00"/>
        <d v="2021-01-06T00:00:00"/>
        <d v="2021-11-15T00:00:00"/>
        <d v="2021-07-16T00:00:00"/>
        <d v="2021-09-01T00:00:00"/>
        <d v="2021-11-30T00:00:00"/>
        <d v="2021-08-26T00:00:00"/>
        <d v="2021-11-19T00:00:00"/>
        <d v="2021-10-15T00:00:00"/>
        <d v="2021-08-31T00:00:00"/>
        <d v="2021-12-12T00:00:00"/>
        <d v="2021-09-12T00:00:00"/>
        <d v="2021-01-17T00:00:00"/>
        <d v="2021-07-09T00:00:00"/>
        <d v="2021-01-04T00:00:00"/>
        <d v="2021-02-25T00:00:00"/>
        <d v="2021-07-24T00:00:00"/>
        <d v="2021-12-09T00:00:00"/>
        <d v="2021-12-08T00:00:00"/>
        <d v="2021-08-07T00:00:00"/>
        <d v="2021-01-07T00:00:00"/>
        <d v="2021-11-11T00:00:00"/>
        <d v="2021-04-10T00:00:00"/>
        <d v="2021-01-05T00:00:00"/>
        <d v="2021-02-02T00:00:00"/>
        <d v="2021-03-27T00:00:00"/>
        <d v="2021-05-04T00:00:00"/>
        <d v="2021-02-12T00:00:00"/>
        <d v="2021-08-12T00:00:00"/>
        <d v="2021-06-12T00:00:00"/>
        <d v="2021-10-10T00:00:00"/>
        <d v="2021-04-02T00:00:00"/>
        <d v="2021-08-15T00:00:00"/>
        <d v="2021-09-05T00:00:00"/>
        <d v="2021-02-23T00:00:00"/>
        <d v="2021-08-25T00:00:00"/>
        <d v="2021-06-20T00:00:00"/>
        <d v="2021-07-12T00:00:00"/>
        <d v="2021-07-31T00:00:00"/>
        <d v="2021-11-20T00:00:00"/>
        <d v="2021-04-06T00:00:00"/>
        <d v="2021-10-28T00:00:00"/>
        <d v="2021-01-22T00:00:00"/>
        <d v="2021-07-20T00:00:00"/>
        <d v="2021-03-20T00:00:00"/>
        <d v="2021-05-23T00:00:00"/>
        <d v="2021-01-31T00:00:00"/>
        <d v="2021-01-20T00:00:00"/>
        <d v="2021-10-04T00:00:00"/>
        <d v="2021-03-05T00:00:00"/>
        <d v="2021-12-14T00:00:00"/>
        <d v="2021-06-11T00:00:00"/>
        <d v="2021-07-07T00:00:00"/>
        <d v="2021-06-04T00:00:00"/>
        <d v="2021-10-27T00:00:00"/>
        <d v="2021-01-16T00:00:00"/>
        <d v="2021-08-01T00:00:00"/>
        <d v="2021-05-21T00:00:00"/>
        <d v="2021-04-25T00:00:00"/>
        <d v="2021-11-14T00:00:00"/>
        <d v="2021-11-18T00:00:00"/>
        <d v="2021-05-07T00:00:00"/>
        <d v="2021-12-23T00:00:00"/>
        <d v="2021-12-21T00:00:00"/>
        <d v="2021-04-03T00:00:00"/>
        <d v="2021-10-08T00:00:00"/>
        <d v="2021-05-27T00:00:00"/>
        <d v="2021-04-17T00:00:00"/>
        <d v="2021-04-23T00:00:00"/>
        <d v="2021-05-02T00:00:00"/>
        <d v="2021-08-05T00:00:00"/>
        <d v="2021-02-09T00:00:00"/>
        <d v="2021-05-01T00:00:00"/>
        <d v="2021-07-30T00:00:00"/>
        <d v="2021-06-13T00:00:00"/>
        <d v="2021-03-15T00:00:00"/>
        <d v="2021-03-23T00:00:00"/>
        <d v="2021-08-28T00:00:00"/>
        <d v="2021-12-30T00:00:00"/>
        <d v="2021-02-22T00:00:00"/>
        <d v="2021-02-04T00:00:00"/>
        <d v="2021-05-06T00:00:00"/>
        <d v="2021-08-21T00:00:00"/>
        <d v="2021-10-24T00:00:00"/>
        <d v="2021-05-24T00:00:00"/>
        <d v="2021-05-10T00:00:00"/>
        <d v="2021-10-19T00:00:00"/>
        <d v="2021-03-19T00:00:00"/>
        <d v="2021-10-18T00:00:00"/>
        <d v="2021-02-26T00:00:00"/>
        <d v="2021-11-26T00:00:00"/>
        <d v="2021-07-03T00:00:00"/>
        <d v="2021-09-04T00:00:00"/>
        <d v="2021-07-27T00:00:00"/>
        <d v="2021-05-15T00:00:00"/>
        <d v="2021-01-29T00:00:00"/>
        <d v="2021-10-12T00:00:00"/>
        <d v="2021-01-03T00:00:00"/>
        <d v="2021-12-27T00:00:00"/>
        <d v="2021-06-22T00:00:00"/>
        <d v="2021-04-13T00:00:00"/>
        <d v="2021-06-25T00:00:00"/>
        <d v="2021-12-11T00:00:00"/>
        <d v="2021-12-19T00:00:00"/>
        <d v="2021-09-22T00:00:00"/>
        <d v="2021-11-23T00:00:00"/>
        <d v="2021-04-20T00:00:00"/>
        <d v="2021-04-21T00:00:00"/>
        <d v="2021-03-04T00:00:00"/>
        <d v="2021-08-04T00:00:00"/>
        <d v="2021-08-29T00:00:00"/>
        <d v="2021-03-10T00:00:00"/>
        <d v="2021-11-13T00:00:00"/>
        <d v="2021-11-21T00:00:00"/>
        <d v="2021-08-14T00:00:00"/>
        <d v="2021-05-03T00:00:00"/>
        <d v="2021-12-16T00:00:00"/>
        <d v="2021-08-03T00:00:00"/>
        <d v="2021-01-27T00:00:00"/>
        <d v="2021-08-06T00:00:00"/>
        <d v="2021-06-15T00:00:00"/>
        <d v="2021-11-07T00:00:00"/>
        <d v="2021-02-14T00:00:00"/>
        <d v="2021-10-06T00:00:00"/>
        <d v="2021-01-11T00:00:00"/>
        <d v="2021-01-12T00:00:00"/>
        <d v="2021-02-19T00:00:00"/>
        <d v="2021-06-30T00:00:00"/>
        <d v="2021-10-30T00:00:00"/>
        <d v="2021-04-07T00:00:00"/>
        <d v="2021-06-07T00:00:00"/>
        <d v="2021-06-29T00:00:00"/>
        <d v="2021-06-21T00:00:00"/>
        <d v="2021-07-05T00:00:00"/>
        <d v="2021-04-29T00:00:00"/>
        <d v="2021-03-02T00:00:00"/>
        <d v="2021-11-24T00:00:00"/>
        <d v="2021-02-03T00:00:00"/>
        <d v="2021-09-29T00:00:00"/>
        <d v="2021-09-10T00:00:00"/>
        <d v="2021-09-28T00:00:00"/>
        <d v="2021-04-22T00:00:00"/>
        <d v="2021-06-17T00:00:00"/>
        <d v="2021-11-29T00:00:00"/>
        <d v="2021-09-13T00:00:00"/>
        <d v="2021-08-27T00:00:00"/>
        <d v="2021-01-25T00:00:00"/>
        <d v="2021-01-13T00:00:00"/>
        <d v="2021-09-02T00:00:00"/>
        <d v="2021-04-04T00:00:00"/>
        <d v="2021-03-18T00:00:00"/>
        <d v="2021-06-08T00:00:00"/>
        <d v="2021-01-14T00:00:00"/>
        <d v="2021-10-07T00:00:00"/>
        <d v="2021-12-29T00:00:00"/>
        <d v="2021-05-30T00:00:00"/>
        <d v="2021-09-25T00:00:00"/>
        <d v="2021-02-18T00:00:00"/>
        <d v="2021-11-04T00:00:00"/>
        <d v="2021-11-05T00:00:00"/>
        <d v="2021-01-21T00:00:00"/>
        <d v="2021-08-16T00:00:00"/>
        <d v="2021-07-23T00:00:00"/>
        <d v="2021-05-14T00:00:00"/>
        <d v="2021-08-10T00:00:00"/>
        <d v="2021-02-13T00:00:00"/>
        <d v="2021-04-08T00:00:00"/>
        <d v="2021-08-18T00:00:00"/>
        <d v="2021-10-31T00:00:00"/>
        <d v="2021-07-10T00:00:00"/>
        <d v="2021-02-05T00:00:00"/>
        <d v="2021-04-16T00:00:00"/>
        <d v="2021-11-17T00:00:00"/>
        <d v="2021-04-09T00:00:00"/>
        <d v="2021-08-30T00:00:00"/>
        <d v="2021-10-23T00:00:00"/>
        <d v="2021-10-16T00:00:00"/>
        <d v="2021-05-16T00:00:00"/>
        <d v="2021-09-15T00:00:00"/>
        <d v="2021-03-17T00:00:00"/>
        <d v="2021-12-07T00:00:00"/>
        <d v="2021-05-09T00:00:00"/>
        <d v="2021-12-06T00:00:00"/>
        <d v="2021-05-31T00:00:00"/>
      </sharedItems>
      <fieldGroup par="9"/>
    </cacheField>
    <cacheField name="Product" numFmtId="0">
      <sharedItems count="9">
        <s v="Dell XPS 13"/>
        <s v="OnePlus 8 Pro"/>
        <s v="Apple AirPods Pro"/>
        <s v="OnePlus Buds"/>
        <s v="HP Envy x360"/>
        <s v="MacBook Air"/>
        <s v="Sony WH-1000XM4"/>
        <s v="iPhone 11 Pro"/>
        <s v="Samsung S21"/>
      </sharedItems>
    </cacheField>
    <cacheField name="Category" numFmtId="0">
      <sharedItems count="3">
        <s v="Laptop"/>
        <s v="Phone"/>
        <s v="Headphone"/>
      </sharedItems>
    </cacheField>
    <cacheField name="Sales Rep" numFmtId="0">
      <sharedItems count="10">
        <s v="Sneha"/>
        <s v="Kate"/>
        <s v="Bruce"/>
        <s v="Priya"/>
        <s v="Neha"/>
        <s v="Amit"/>
        <s v="Rahul"/>
        <s v="Tara"/>
        <s v="Asif"/>
        <s v="Krish"/>
      </sharedItems>
    </cacheField>
    <cacheField name="City" numFmtId="0">
      <sharedItems count="10">
        <s v="Nagpur"/>
        <s v="Kolkata"/>
        <s v="Pune"/>
        <s v="Ahmedabad"/>
        <s v="Delhi"/>
        <s v="Mumbai"/>
        <s v="Cochin"/>
        <s v="Bangalore"/>
        <s v="Hyderabad"/>
        <s v="Chennai"/>
      </sharedItems>
    </cacheField>
    <cacheField name="No. of Units" numFmtId="0">
      <sharedItems containsSemiMixedTypes="0" containsString="0" containsNumber="1" containsInteger="1" minValue="1" maxValue="50"/>
    </cacheField>
    <cacheField name="Price" numFmtId="0">
      <sharedItems containsSemiMixedTypes="0" containsString="0" containsNumber="1" containsInteger="1" minValue="75" maxValue="2001"/>
    </cacheField>
    <cacheField name="Amount" numFmtId="0">
      <sharedItems containsSemiMixedTypes="0" containsString="0" containsNumber="1" containsInteger="1" minValue="75" maxValue="94047"/>
    </cacheField>
    <cacheField name="Days (Date)" numFmtId="0" databaseField="0">
      <fieldGroup base="0">
        <rangePr groupBy="days" startDate="2021-01-01T00:00:00" endDate="2022-01-01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Months (Date)" numFmtId="0" databaseField="0">
      <fieldGroup base="0">
        <rangePr groupBy="months" startDate="2021-01-01T00:00:00" endDate="2022-01-01T00:00:00"/>
        <groupItems count="14">
          <s v="&lt;01-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15974277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n v="10"/>
    <n v="2001"/>
    <n v="20010"/>
  </r>
  <r>
    <x v="1"/>
    <x v="1"/>
    <x v="1"/>
    <x v="1"/>
    <x v="1"/>
    <n v="43"/>
    <n v="790"/>
    <n v="33970"/>
  </r>
  <r>
    <x v="2"/>
    <x v="1"/>
    <x v="1"/>
    <x v="1"/>
    <x v="1"/>
    <n v="24"/>
    <n v="790"/>
    <n v="18960"/>
  </r>
  <r>
    <x v="3"/>
    <x v="2"/>
    <x v="2"/>
    <x v="2"/>
    <x v="2"/>
    <n v="38"/>
    <n v="315"/>
    <n v="11970"/>
  </r>
  <r>
    <x v="4"/>
    <x v="3"/>
    <x v="2"/>
    <x v="3"/>
    <x v="2"/>
    <n v="10"/>
    <n v="75"/>
    <n v="750"/>
  </r>
  <r>
    <x v="5"/>
    <x v="4"/>
    <x v="0"/>
    <x v="0"/>
    <x v="3"/>
    <n v="49"/>
    <n v="1080"/>
    <n v="52920"/>
  </r>
  <r>
    <x v="6"/>
    <x v="2"/>
    <x v="2"/>
    <x v="3"/>
    <x v="4"/>
    <n v="50"/>
    <n v="315"/>
    <n v="15750"/>
  </r>
  <r>
    <x v="7"/>
    <x v="5"/>
    <x v="0"/>
    <x v="2"/>
    <x v="5"/>
    <n v="28"/>
    <n v="1500"/>
    <n v="42000"/>
  </r>
  <r>
    <x v="8"/>
    <x v="1"/>
    <x v="1"/>
    <x v="0"/>
    <x v="6"/>
    <n v="3"/>
    <n v="790"/>
    <n v="2370"/>
  </r>
  <r>
    <x v="9"/>
    <x v="3"/>
    <x v="2"/>
    <x v="4"/>
    <x v="1"/>
    <n v="43"/>
    <n v="75"/>
    <n v="3225"/>
  </r>
  <r>
    <x v="10"/>
    <x v="2"/>
    <x v="2"/>
    <x v="3"/>
    <x v="7"/>
    <n v="15"/>
    <n v="315"/>
    <n v="4725"/>
  </r>
  <r>
    <x v="11"/>
    <x v="2"/>
    <x v="2"/>
    <x v="4"/>
    <x v="6"/>
    <n v="41"/>
    <n v="315"/>
    <n v="12915"/>
  </r>
  <r>
    <x v="12"/>
    <x v="5"/>
    <x v="0"/>
    <x v="5"/>
    <x v="8"/>
    <n v="8"/>
    <n v="1500"/>
    <n v="12000"/>
  </r>
  <r>
    <x v="13"/>
    <x v="3"/>
    <x v="2"/>
    <x v="6"/>
    <x v="2"/>
    <n v="11"/>
    <n v="75"/>
    <n v="825"/>
  </r>
  <r>
    <x v="14"/>
    <x v="0"/>
    <x v="0"/>
    <x v="1"/>
    <x v="4"/>
    <n v="29"/>
    <n v="2001"/>
    <n v="58029"/>
  </r>
  <r>
    <x v="15"/>
    <x v="2"/>
    <x v="2"/>
    <x v="6"/>
    <x v="2"/>
    <n v="31"/>
    <n v="315"/>
    <n v="9765"/>
  </r>
  <r>
    <x v="16"/>
    <x v="6"/>
    <x v="2"/>
    <x v="7"/>
    <x v="2"/>
    <n v="25"/>
    <n v="350"/>
    <n v="8750"/>
  </r>
  <r>
    <x v="17"/>
    <x v="7"/>
    <x v="1"/>
    <x v="1"/>
    <x v="6"/>
    <n v="37"/>
    <n v="1575"/>
    <n v="58275"/>
  </r>
  <r>
    <x v="18"/>
    <x v="7"/>
    <x v="1"/>
    <x v="6"/>
    <x v="3"/>
    <n v="19"/>
    <n v="1575"/>
    <n v="29925"/>
  </r>
  <r>
    <x v="19"/>
    <x v="6"/>
    <x v="2"/>
    <x v="2"/>
    <x v="4"/>
    <n v="31"/>
    <n v="350"/>
    <n v="10850"/>
  </r>
  <r>
    <x v="20"/>
    <x v="6"/>
    <x v="2"/>
    <x v="3"/>
    <x v="3"/>
    <n v="47"/>
    <n v="350"/>
    <n v="16450"/>
  </r>
  <r>
    <x v="21"/>
    <x v="6"/>
    <x v="2"/>
    <x v="7"/>
    <x v="0"/>
    <n v="31"/>
    <n v="350"/>
    <n v="10850"/>
  </r>
  <r>
    <x v="22"/>
    <x v="0"/>
    <x v="0"/>
    <x v="0"/>
    <x v="3"/>
    <n v="23"/>
    <n v="2001"/>
    <n v="46023"/>
  </r>
  <r>
    <x v="23"/>
    <x v="8"/>
    <x v="1"/>
    <x v="7"/>
    <x v="9"/>
    <n v="10"/>
    <n v="950"/>
    <n v="9500"/>
  </r>
  <r>
    <x v="24"/>
    <x v="8"/>
    <x v="1"/>
    <x v="8"/>
    <x v="8"/>
    <n v="26"/>
    <n v="950"/>
    <n v="24700"/>
  </r>
  <r>
    <x v="25"/>
    <x v="4"/>
    <x v="0"/>
    <x v="1"/>
    <x v="0"/>
    <n v="36"/>
    <n v="1080"/>
    <n v="38880"/>
  </r>
  <r>
    <x v="26"/>
    <x v="7"/>
    <x v="1"/>
    <x v="3"/>
    <x v="9"/>
    <n v="26"/>
    <n v="1575"/>
    <n v="40950"/>
  </r>
  <r>
    <x v="27"/>
    <x v="0"/>
    <x v="0"/>
    <x v="6"/>
    <x v="4"/>
    <n v="25"/>
    <n v="2001"/>
    <n v="50025"/>
  </r>
  <r>
    <x v="28"/>
    <x v="2"/>
    <x v="2"/>
    <x v="7"/>
    <x v="9"/>
    <n v="46"/>
    <n v="315"/>
    <n v="14490"/>
  </r>
  <r>
    <x v="29"/>
    <x v="0"/>
    <x v="0"/>
    <x v="5"/>
    <x v="0"/>
    <n v="28"/>
    <n v="2001"/>
    <n v="56028"/>
  </r>
  <r>
    <x v="30"/>
    <x v="2"/>
    <x v="2"/>
    <x v="9"/>
    <x v="0"/>
    <n v="41"/>
    <n v="315"/>
    <n v="12915"/>
  </r>
  <r>
    <x v="31"/>
    <x v="6"/>
    <x v="2"/>
    <x v="5"/>
    <x v="1"/>
    <n v="1"/>
    <n v="350"/>
    <n v="350"/>
  </r>
  <r>
    <x v="32"/>
    <x v="7"/>
    <x v="1"/>
    <x v="0"/>
    <x v="4"/>
    <n v="22"/>
    <n v="1575"/>
    <n v="34650"/>
  </r>
  <r>
    <x v="33"/>
    <x v="5"/>
    <x v="0"/>
    <x v="7"/>
    <x v="4"/>
    <n v="42"/>
    <n v="1500"/>
    <n v="63000"/>
  </r>
  <r>
    <x v="34"/>
    <x v="1"/>
    <x v="1"/>
    <x v="7"/>
    <x v="5"/>
    <n v="29"/>
    <n v="790"/>
    <n v="22910"/>
  </r>
  <r>
    <x v="35"/>
    <x v="3"/>
    <x v="2"/>
    <x v="3"/>
    <x v="2"/>
    <n v="49"/>
    <n v="75"/>
    <n v="3675"/>
  </r>
  <r>
    <x v="36"/>
    <x v="2"/>
    <x v="2"/>
    <x v="7"/>
    <x v="5"/>
    <n v="16"/>
    <n v="315"/>
    <n v="5040"/>
  </r>
  <r>
    <x v="37"/>
    <x v="3"/>
    <x v="2"/>
    <x v="3"/>
    <x v="3"/>
    <n v="38"/>
    <n v="75"/>
    <n v="2850"/>
  </r>
  <r>
    <x v="38"/>
    <x v="5"/>
    <x v="0"/>
    <x v="0"/>
    <x v="8"/>
    <n v="37"/>
    <n v="1500"/>
    <n v="55500"/>
  </r>
  <r>
    <x v="39"/>
    <x v="6"/>
    <x v="2"/>
    <x v="4"/>
    <x v="1"/>
    <n v="11"/>
    <n v="350"/>
    <n v="3850"/>
  </r>
  <r>
    <x v="40"/>
    <x v="7"/>
    <x v="1"/>
    <x v="2"/>
    <x v="4"/>
    <n v="29"/>
    <n v="1575"/>
    <n v="45675"/>
  </r>
  <r>
    <x v="41"/>
    <x v="8"/>
    <x v="1"/>
    <x v="7"/>
    <x v="4"/>
    <n v="30"/>
    <n v="950"/>
    <n v="28500"/>
  </r>
  <r>
    <x v="42"/>
    <x v="3"/>
    <x v="2"/>
    <x v="6"/>
    <x v="8"/>
    <n v="6"/>
    <n v="75"/>
    <n v="450"/>
  </r>
  <r>
    <x v="43"/>
    <x v="1"/>
    <x v="1"/>
    <x v="3"/>
    <x v="6"/>
    <n v="15"/>
    <n v="790"/>
    <n v="11850"/>
  </r>
  <r>
    <x v="44"/>
    <x v="6"/>
    <x v="2"/>
    <x v="4"/>
    <x v="7"/>
    <n v="22"/>
    <n v="350"/>
    <n v="7700"/>
  </r>
  <r>
    <x v="45"/>
    <x v="7"/>
    <x v="1"/>
    <x v="4"/>
    <x v="8"/>
    <n v="2"/>
    <n v="1575"/>
    <n v="3150"/>
  </r>
  <r>
    <x v="46"/>
    <x v="0"/>
    <x v="0"/>
    <x v="7"/>
    <x v="3"/>
    <n v="45"/>
    <n v="2001"/>
    <n v="90045"/>
  </r>
  <r>
    <x v="47"/>
    <x v="8"/>
    <x v="1"/>
    <x v="5"/>
    <x v="4"/>
    <n v="38"/>
    <n v="950"/>
    <n v="36100"/>
  </r>
  <r>
    <x v="48"/>
    <x v="2"/>
    <x v="2"/>
    <x v="1"/>
    <x v="1"/>
    <n v="1"/>
    <n v="315"/>
    <n v="315"/>
  </r>
  <r>
    <x v="49"/>
    <x v="2"/>
    <x v="2"/>
    <x v="8"/>
    <x v="7"/>
    <n v="19"/>
    <n v="315"/>
    <n v="5985"/>
  </r>
  <r>
    <x v="50"/>
    <x v="5"/>
    <x v="0"/>
    <x v="2"/>
    <x v="7"/>
    <n v="47"/>
    <n v="1500"/>
    <n v="70500"/>
  </r>
  <r>
    <x v="51"/>
    <x v="5"/>
    <x v="0"/>
    <x v="2"/>
    <x v="0"/>
    <n v="27"/>
    <n v="1500"/>
    <n v="40500"/>
  </r>
  <r>
    <x v="52"/>
    <x v="3"/>
    <x v="2"/>
    <x v="0"/>
    <x v="6"/>
    <n v="27"/>
    <n v="75"/>
    <n v="2025"/>
  </r>
  <r>
    <x v="53"/>
    <x v="4"/>
    <x v="0"/>
    <x v="9"/>
    <x v="8"/>
    <n v="36"/>
    <n v="1080"/>
    <n v="38880"/>
  </r>
  <r>
    <x v="54"/>
    <x v="3"/>
    <x v="2"/>
    <x v="6"/>
    <x v="4"/>
    <n v="23"/>
    <n v="75"/>
    <n v="1725"/>
  </r>
  <r>
    <x v="55"/>
    <x v="7"/>
    <x v="1"/>
    <x v="8"/>
    <x v="7"/>
    <n v="17"/>
    <n v="1575"/>
    <n v="26775"/>
  </r>
  <r>
    <x v="56"/>
    <x v="4"/>
    <x v="0"/>
    <x v="8"/>
    <x v="3"/>
    <n v="29"/>
    <n v="1080"/>
    <n v="31320"/>
  </r>
  <r>
    <x v="57"/>
    <x v="7"/>
    <x v="1"/>
    <x v="8"/>
    <x v="0"/>
    <n v="8"/>
    <n v="1575"/>
    <n v="12600"/>
  </r>
  <r>
    <x v="58"/>
    <x v="6"/>
    <x v="2"/>
    <x v="5"/>
    <x v="8"/>
    <n v="16"/>
    <n v="350"/>
    <n v="5600"/>
  </r>
  <r>
    <x v="59"/>
    <x v="4"/>
    <x v="0"/>
    <x v="3"/>
    <x v="1"/>
    <n v="41"/>
    <n v="1080"/>
    <n v="44280"/>
  </r>
  <r>
    <x v="60"/>
    <x v="7"/>
    <x v="1"/>
    <x v="4"/>
    <x v="1"/>
    <n v="18"/>
    <n v="1575"/>
    <n v="28350"/>
  </r>
  <r>
    <x v="61"/>
    <x v="0"/>
    <x v="0"/>
    <x v="6"/>
    <x v="5"/>
    <n v="9"/>
    <n v="2001"/>
    <n v="18009"/>
  </r>
  <r>
    <x v="62"/>
    <x v="6"/>
    <x v="2"/>
    <x v="2"/>
    <x v="5"/>
    <n v="6"/>
    <n v="350"/>
    <n v="2100"/>
  </r>
  <r>
    <x v="63"/>
    <x v="0"/>
    <x v="0"/>
    <x v="7"/>
    <x v="1"/>
    <n v="33"/>
    <n v="2001"/>
    <n v="66033"/>
  </r>
  <r>
    <x v="64"/>
    <x v="5"/>
    <x v="0"/>
    <x v="3"/>
    <x v="8"/>
    <n v="48"/>
    <n v="1500"/>
    <n v="72000"/>
  </r>
  <r>
    <x v="65"/>
    <x v="1"/>
    <x v="1"/>
    <x v="1"/>
    <x v="8"/>
    <n v="10"/>
    <n v="790"/>
    <n v="7900"/>
  </r>
  <r>
    <x v="66"/>
    <x v="7"/>
    <x v="1"/>
    <x v="0"/>
    <x v="3"/>
    <n v="4"/>
    <n v="1575"/>
    <n v="6300"/>
  </r>
  <r>
    <x v="33"/>
    <x v="2"/>
    <x v="2"/>
    <x v="3"/>
    <x v="6"/>
    <n v="48"/>
    <n v="315"/>
    <n v="15120"/>
  </r>
  <r>
    <x v="54"/>
    <x v="0"/>
    <x v="0"/>
    <x v="2"/>
    <x v="8"/>
    <n v="20"/>
    <n v="2001"/>
    <n v="40020"/>
  </r>
  <r>
    <x v="67"/>
    <x v="8"/>
    <x v="1"/>
    <x v="2"/>
    <x v="3"/>
    <n v="20"/>
    <n v="950"/>
    <n v="19000"/>
  </r>
  <r>
    <x v="53"/>
    <x v="7"/>
    <x v="1"/>
    <x v="3"/>
    <x v="1"/>
    <n v="45"/>
    <n v="1575"/>
    <n v="70875"/>
  </r>
  <r>
    <x v="68"/>
    <x v="5"/>
    <x v="0"/>
    <x v="2"/>
    <x v="2"/>
    <n v="32"/>
    <n v="1500"/>
    <n v="48000"/>
  </r>
  <r>
    <x v="69"/>
    <x v="2"/>
    <x v="2"/>
    <x v="3"/>
    <x v="9"/>
    <n v="31"/>
    <n v="315"/>
    <n v="9765"/>
  </r>
  <r>
    <x v="70"/>
    <x v="3"/>
    <x v="2"/>
    <x v="8"/>
    <x v="9"/>
    <n v="1"/>
    <n v="75"/>
    <n v="75"/>
  </r>
  <r>
    <x v="71"/>
    <x v="8"/>
    <x v="1"/>
    <x v="2"/>
    <x v="3"/>
    <n v="5"/>
    <n v="950"/>
    <n v="4750"/>
  </r>
  <r>
    <x v="72"/>
    <x v="2"/>
    <x v="2"/>
    <x v="6"/>
    <x v="4"/>
    <n v="31"/>
    <n v="315"/>
    <n v="9765"/>
  </r>
  <r>
    <x v="73"/>
    <x v="3"/>
    <x v="2"/>
    <x v="3"/>
    <x v="6"/>
    <n v="41"/>
    <n v="75"/>
    <n v="3075"/>
  </r>
  <r>
    <x v="74"/>
    <x v="0"/>
    <x v="0"/>
    <x v="6"/>
    <x v="1"/>
    <n v="6"/>
    <n v="2001"/>
    <n v="12006"/>
  </r>
  <r>
    <x v="75"/>
    <x v="6"/>
    <x v="2"/>
    <x v="6"/>
    <x v="3"/>
    <n v="28"/>
    <n v="350"/>
    <n v="9800"/>
  </r>
  <r>
    <x v="76"/>
    <x v="2"/>
    <x v="2"/>
    <x v="6"/>
    <x v="8"/>
    <n v="35"/>
    <n v="315"/>
    <n v="11025"/>
  </r>
  <r>
    <x v="77"/>
    <x v="3"/>
    <x v="2"/>
    <x v="1"/>
    <x v="5"/>
    <n v="42"/>
    <n v="75"/>
    <n v="3150"/>
  </r>
  <r>
    <x v="78"/>
    <x v="8"/>
    <x v="1"/>
    <x v="5"/>
    <x v="7"/>
    <n v="44"/>
    <n v="950"/>
    <n v="41800"/>
  </r>
  <r>
    <x v="79"/>
    <x v="8"/>
    <x v="1"/>
    <x v="9"/>
    <x v="6"/>
    <n v="8"/>
    <n v="950"/>
    <n v="7600"/>
  </r>
  <r>
    <x v="54"/>
    <x v="6"/>
    <x v="2"/>
    <x v="5"/>
    <x v="1"/>
    <n v="49"/>
    <n v="350"/>
    <n v="17150"/>
  </r>
  <r>
    <x v="80"/>
    <x v="4"/>
    <x v="0"/>
    <x v="6"/>
    <x v="3"/>
    <n v="24"/>
    <n v="1080"/>
    <n v="25920"/>
  </r>
  <r>
    <x v="81"/>
    <x v="8"/>
    <x v="1"/>
    <x v="6"/>
    <x v="1"/>
    <n v="19"/>
    <n v="950"/>
    <n v="18050"/>
  </r>
  <r>
    <x v="82"/>
    <x v="0"/>
    <x v="0"/>
    <x v="6"/>
    <x v="5"/>
    <n v="8"/>
    <n v="2001"/>
    <n v="16008"/>
  </r>
  <r>
    <x v="83"/>
    <x v="0"/>
    <x v="0"/>
    <x v="3"/>
    <x v="2"/>
    <n v="40"/>
    <n v="2001"/>
    <n v="80040"/>
  </r>
  <r>
    <x v="58"/>
    <x v="8"/>
    <x v="1"/>
    <x v="9"/>
    <x v="8"/>
    <n v="15"/>
    <n v="950"/>
    <n v="14250"/>
  </r>
  <r>
    <x v="84"/>
    <x v="6"/>
    <x v="2"/>
    <x v="2"/>
    <x v="6"/>
    <n v="47"/>
    <n v="350"/>
    <n v="16450"/>
  </r>
  <r>
    <x v="85"/>
    <x v="2"/>
    <x v="2"/>
    <x v="3"/>
    <x v="9"/>
    <n v="30"/>
    <n v="315"/>
    <n v="9450"/>
  </r>
  <r>
    <x v="86"/>
    <x v="2"/>
    <x v="2"/>
    <x v="7"/>
    <x v="3"/>
    <n v="39"/>
    <n v="315"/>
    <n v="12285"/>
  </r>
  <r>
    <x v="87"/>
    <x v="4"/>
    <x v="0"/>
    <x v="2"/>
    <x v="8"/>
    <n v="24"/>
    <n v="1080"/>
    <n v="25920"/>
  </r>
  <r>
    <x v="12"/>
    <x v="0"/>
    <x v="0"/>
    <x v="9"/>
    <x v="5"/>
    <n v="5"/>
    <n v="2001"/>
    <n v="10005"/>
  </r>
  <r>
    <x v="88"/>
    <x v="7"/>
    <x v="1"/>
    <x v="1"/>
    <x v="9"/>
    <n v="21"/>
    <n v="1575"/>
    <n v="33075"/>
  </r>
  <r>
    <x v="78"/>
    <x v="8"/>
    <x v="1"/>
    <x v="8"/>
    <x v="8"/>
    <n v="29"/>
    <n v="950"/>
    <n v="27550"/>
  </r>
  <r>
    <x v="89"/>
    <x v="6"/>
    <x v="2"/>
    <x v="9"/>
    <x v="5"/>
    <n v="34"/>
    <n v="350"/>
    <n v="11900"/>
  </r>
  <r>
    <x v="90"/>
    <x v="1"/>
    <x v="1"/>
    <x v="6"/>
    <x v="7"/>
    <n v="31"/>
    <n v="790"/>
    <n v="24490"/>
  </r>
  <r>
    <x v="91"/>
    <x v="4"/>
    <x v="0"/>
    <x v="8"/>
    <x v="0"/>
    <n v="38"/>
    <n v="1080"/>
    <n v="41040"/>
  </r>
  <r>
    <x v="92"/>
    <x v="8"/>
    <x v="1"/>
    <x v="6"/>
    <x v="1"/>
    <n v="37"/>
    <n v="950"/>
    <n v="35150"/>
  </r>
  <r>
    <x v="71"/>
    <x v="8"/>
    <x v="1"/>
    <x v="4"/>
    <x v="1"/>
    <n v="32"/>
    <n v="950"/>
    <n v="30400"/>
  </r>
  <r>
    <x v="93"/>
    <x v="3"/>
    <x v="2"/>
    <x v="7"/>
    <x v="8"/>
    <n v="7"/>
    <n v="75"/>
    <n v="525"/>
  </r>
  <r>
    <x v="23"/>
    <x v="4"/>
    <x v="0"/>
    <x v="0"/>
    <x v="7"/>
    <n v="22"/>
    <n v="1080"/>
    <n v="23760"/>
  </r>
  <r>
    <x v="94"/>
    <x v="3"/>
    <x v="2"/>
    <x v="3"/>
    <x v="6"/>
    <n v="21"/>
    <n v="75"/>
    <n v="1575"/>
  </r>
  <r>
    <x v="95"/>
    <x v="5"/>
    <x v="0"/>
    <x v="3"/>
    <x v="8"/>
    <n v="33"/>
    <n v="1500"/>
    <n v="49500"/>
  </r>
  <r>
    <x v="96"/>
    <x v="7"/>
    <x v="1"/>
    <x v="2"/>
    <x v="3"/>
    <n v="4"/>
    <n v="1575"/>
    <n v="6300"/>
  </r>
  <r>
    <x v="97"/>
    <x v="7"/>
    <x v="1"/>
    <x v="6"/>
    <x v="3"/>
    <n v="26"/>
    <n v="1575"/>
    <n v="40950"/>
  </r>
  <r>
    <x v="98"/>
    <x v="0"/>
    <x v="0"/>
    <x v="5"/>
    <x v="2"/>
    <n v="18"/>
    <n v="2001"/>
    <n v="36018"/>
  </r>
  <r>
    <x v="99"/>
    <x v="0"/>
    <x v="0"/>
    <x v="3"/>
    <x v="4"/>
    <n v="12"/>
    <n v="2001"/>
    <n v="24012"/>
  </r>
  <r>
    <x v="100"/>
    <x v="6"/>
    <x v="2"/>
    <x v="8"/>
    <x v="5"/>
    <n v="24"/>
    <n v="350"/>
    <n v="8400"/>
  </r>
  <r>
    <x v="26"/>
    <x v="7"/>
    <x v="1"/>
    <x v="0"/>
    <x v="3"/>
    <n v="9"/>
    <n v="1575"/>
    <n v="14175"/>
  </r>
  <r>
    <x v="101"/>
    <x v="0"/>
    <x v="0"/>
    <x v="8"/>
    <x v="6"/>
    <n v="42"/>
    <n v="2001"/>
    <n v="84042"/>
  </r>
  <r>
    <x v="102"/>
    <x v="5"/>
    <x v="0"/>
    <x v="7"/>
    <x v="8"/>
    <n v="19"/>
    <n v="1500"/>
    <n v="28500"/>
  </r>
  <r>
    <x v="92"/>
    <x v="1"/>
    <x v="1"/>
    <x v="5"/>
    <x v="6"/>
    <n v="8"/>
    <n v="790"/>
    <n v="6320"/>
  </r>
  <r>
    <x v="103"/>
    <x v="8"/>
    <x v="1"/>
    <x v="9"/>
    <x v="7"/>
    <n v="46"/>
    <n v="950"/>
    <n v="43700"/>
  </r>
  <r>
    <x v="75"/>
    <x v="8"/>
    <x v="1"/>
    <x v="2"/>
    <x v="3"/>
    <n v="49"/>
    <n v="950"/>
    <n v="46550"/>
  </r>
  <r>
    <x v="104"/>
    <x v="7"/>
    <x v="1"/>
    <x v="3"/>
    <x v="8"/>
    <n v="23"/>
    <n v="1575"/>
    <n v="36225"/>
  </r>
  <r>
    <x v="105"/>
    <x v="3"/>
    <x v="2"/>
    <x v="5"/>
    <x v="8"/>
    <n v="16"/>
    <n v="75"/>
    <n v="1200"/>
  </r>
  <r>
    <x v="16"/>
    <x v="7"/>
    <x v="1"/>
    <x v="9"/>
    <x v="1"/>
    <n v="12"/>
    <n v="1575"/>
    <n v="18900"/>
  </r>
  <r>
    <x v="106"/>
    <x v="2"/>
    <x v="2"/>
    <x v="6"/>
    <x v="0"/>
    <n v="16"/>
    <n v="315"/>
    <n v="5040"/>
  </r>
  <r>
    <x v="107"/>
    <x v="6"/>
    <x v="2"/>
    <x v="5"/>
    <x v="3"/>
    <n v="7"/>
    <n v="350"/>
    <n v="2450"/>
  </r>
  <r>
    <x v="108"/>
    <x v="2"/>
    <x v="2"/>
    <x v="3"/>
    <x v="3"/>
    <n v="34"/>
    <n v="315"/>
    <n v="10710"/>
  </r>
  <r>
    <x v="109"/>
    <x v="3"/>
    <x v="2"/>
    <x v="8"/>
    <x v="2"/>
    <n v="15"/>
    <n v="75"/>
    <n v="1125"/>
  </r>
  <r>
    <x v="110"/>
    <x v="1"/>
    <x v="1"/>
    <x v="5"/>
    <x v="3"/>
    <n v="50"/>
    <n v="790"/>
    <n v="39500"/>
  </r>
  <r>
    <x v="111"/>
    <x v="4"/>
    <x v="0"/>
    <x v="2"/>
    <x v="4"/>
    <n v="10"/>
    <n v="1080"/>
    <n v="10800"/>
  </r>
  <r>
    <x v="112"/>
    <x v="2"/>
    <x v="2"/>
    <x v="4"/>
    <x v="2"/>
    <n v="2"/>
    <n v="315"/>
    <n v="630"/>
  </r>
  <r>
    <x v="64"/>
    <x v="4"/>
    <x v="0"/>
    <x v="2"/>
    <x v="3"/>
    <n v="22"/>
    <n v="1080"/>
    <n v="23760"/>
  </r>
  <r>
    <x v="113"/>
    <x v="2"/>
    <x v="2"/>
    <x v="3"/>
    <x v="0"/>
    <n v="27"/>
    <n v="315"/>
    <n v="8505"/>
  </r>
  <r>
    <x v="114"/>
    <x v="6"/>
    <x v="2"/>
    <x v="9"/>
    <x v="4"/>
    <n v="50"/>
    <n v="350"/>
    <n v="17500"/>
  </r>
  <r>
    <x v="21"/>
    <x v="5"/>
    <x v="0"/>
    <x v="4"/>
    <x v="8"/>
    <n v="24"/>
    <n v="1500"/>
    <n v="36000"/>
  </r>
  <r>
    <x v="115"/>
    <x v="0"/>
    <x v="0"/>
    <x v="2"/>
    <x v="9"/>
    <n v="1"/>
    <n v="2001"/>
    <n v="2001"/>
  </r>
  <r>
    <x v="95"/>
    <x v="1"/>
    <x v="1"/>
    <x v="7"/>
    <x v="9"/>
    <n v="15"/>
    <n v="790"/>
    <n v="11850"/>
  </r>
  <r>
    <x v="116"/>
    <x v="4"/>
    <x v="0"/>
    <x v="2"/>
    <x v="0"/>
    <n v="45"/>
    <n v="1080"/>
    <n v="48600"/>
  </r>
  <r>
    <x v="77"/>
    <x v="7"/>
    <x v="1"/>
    <x v="8"/>
    <x v="1"/>
    <n v="2"/>
    <n v="1575"/>
    <n v="3150"/>
  </r>
  <r>
    <x v="117"/>
    <x v="7"/>
    <x v="1"/>
    <x v="6"/>
    <x v="7"/>
    <n v="25"/>
    <n v="1575"/>
    <n v="39375"/>
  </r>
  <r>
    <x v="3"/>
    <x v="7"/>
    <x v="1"/>
    <x v="2"/>
    <x v="0"/>
    <n v="45"/>
    <n v="1575"/>
    <n v="70875"/>
  </r>
  <r>
    <x v="118"/>
    <x v="7"/>
    <x v="1"/>
    <x v="9"/>
    <x v="7"/>
    <n v="27"/>
    <n v="1575"/>
    <n v="42525"/>
  </r>
  <r>
    <x v="72"/>
    <x v="3"/>
    <x v="2"/>
    <x v="6"/>
    <x v="6"/>
    <n v="22"/>
    <n v="75"/>
    <n v="1650"/>
  </r>
  <r>
    <x v="119"/>
    <x v="5"/>
    <x v="0"/>
    <x v="5"/>
    <x v="3"/>
    <n v="31"/>
    <n v="1500"/>
    <n v="46500"/>
  </r>
  <r>
    <x v="120"/>
    <x v="1"/>
    <x v="1"/>
    <x v="5"/>
    <x v="3"/>
    <n v="22"/>
    <n v="790"/>
    <n v="17380"/>
  </r>
  <r>
    <x v="121"/>
    <x v="0"/>
    <x v="0"/>
    <x v="1"/>
    <x v="7"/>
    <n v="7"/>
    <n v="2001"/>
    <n v="14007"/>
  </r>
  <r>
    <x v="122"/>
    <x v="7"/>
    <x v="1"/>
    <x v="8"/>
    <x v="8"/>
    <n v="17"/>
    <n v="1575"/>
    <n v="26775"/>
  </r>
  <r>
    <x v="123"/>
    <x v="3"/>
    <x v="2"/>
    <x v="6"/>
    <x v="7"/>
    <n v="22"/>
    <n v="75"/>
    <n v="1650"/>
  </r>
  <r>
    <x v="124"/>
    <x v="6"/>
    <x v="2"/>
    <x v="1"/>
    <x v="6"/>
    <n v="48"/>
    <n v="350"/>
    <n v="16800"/>
  </r>
  <r>
    <x v="49"/>
    <x v="3"/>
    <x v="2"/>
    <x v="7"/>
    <x v="6"/>
    <n v="25"/>
    <n v="75"/>
    <n v="1875"/>
  </r>
  <r>
    <x v="125"/>
    <x v="4"/>
    <x v="0"/>
    <x v="9"/>
    <x v="9"/>
    <n v="7"/>
    <n v="1080"/>
    <n v="7560"/>
  </r>
  <r>
    <x v="25"/>
    <x v="7"/>
    <x v="1"/>
    <x v="5"/>
    <x v="2"/>
    <n v="23"/>
    <n v="1575"/>
    <n v="36225"/>
  </r>
  <r>
    <x v="126"/>
    <x v="1"/>
    <x v="1"/>
    <x v="8"/>
    <x v="4"/>
    <n v="36"/>
    <n v="790"/>
    <n v="28440"/>
  </r>
  <r>
    <x v="127"/>
    <x v="3"/>
    <x v="2"/>
    <x v="1"/>
    <x v="6"/>
    <n v="48"/>
    <n v="75"/>
    <n v="3600"/>
  </r>
  <r>
    <x v="128"/>
    <x v="6"/>
    <x v="2"/>
    <x v="7"/>
    <x v="4"/>
    <n v="35"/>
    <n v="350"/>
    <n v="12250"/>
  </r>
  <r>
    <x v="129"/>
    <x v="1"/>
    <x v="1"/>
    <x v="0"/>
    <x v="3"/>
    <n v="48"/>
    <n v="790"/>
    <n v="37920"/>
  </r>
  <r>
    <x v="130"/>
    <x v="4"/>
    <x v="0"/>
    <x v="8"/>
    <x v="4"/>
    <n v="6"/>
    <n v="1080"/>
    <n v="6480"/>
  </r>
  <r>
    <x v="104"/>
    <x v="8"/>
    <x v="1"/>
    <x v="3"/>
    <x v="3"/>
    <n v="38"/>
    <n v="950"/>
    <n v="36100"/>
  </r>
  <r>
    <x v="131"/>
    <x v="0"/>
    <x v="0"/>
    <x v="2"/>
    <x v="9"/>
    <n v="21"/>
    <n v="2001"/>
    <n v="42021"/>
  </r>
  <r>
    <x v="26"/>
    <x v="7"/>
    <x v="1"/>
    <x v="7"/>
    <x v="5"/>
    <n v="6"/>
    <n v="1575"/>
    <n v="9450"/>
  </r>
  <r>
    <x v="109"/>
    <x v="4"/>
    <x v="0"/>
    <x v="0"/>
    <x v="0"/>
    <n v="50"/>
    <n v="1080"/>
    <n v="54000"/>
  </r>
  <r>
    <x v="132"/>
    <x v="0"/>
    <x v="0"/>
    <x v="8"/>
    <x v="0"/>
    <n v="28"/>
    <n v="2001"/>
    <n v="56028"/>
  </r>
  <r>
    <x v="133"/>
    <x v="7"/>
    <x v="1"/>
    <x v="7"/>
    <x v="3"/>
    <n v="27"/>
    <n v="1575"/>
    <n v="42525"/>
  </r>
  <r>
    <x v="55"/>
    <x v="2"/>
    <x v="2"/>
    <x v="4"/>
    <x v="4"/>
    <n v="1"/>
    <n v="315"/>
    <n v="315"/>
  </r>
  <r>
    <x v="134"/>
    <x v="4"/>
    <x v="0"/>
    <x v="8"/>
    <x v="8"/>
    <n v="50"/>
    <n v="1080"/>
    <n v="54000"/>
  </r>
  <r>
    <x v="37"/>
    <x v="3"/>
    <x v="2"/>
    <x v="3"/>
    <x v="2"/>
    <n v="13"/>
    <n v="75"/>
    <n v="975"/>
  </r>
  <r>
    <x v="135"/>
    <x v="8"/>
    <x v="1"/>
    <x v="6"/>
    <x v="1"/>
    <n v="2"/>
    <n v="950"/>
    <n v="1900"/>
  </r>
  <r>
    <x v="136"/>
    <x v="6"/>
    <x v="2"/>
    <x v="6"/>
    <x v="8"/>
    <n v="26"/>
    <n v="350"/>
    <n v="9100"/>
  </r>
  <r>
    <x v="33"/>
    <x v="6"/>
    <x v="2"/>
    <x v="6"/>
    <x v="5"/>
    <n v="47"/>
    <n v="350"/>
    <n v="16450"/>
  </r>
  <r>
    <x v="137"/>
    <x v="3"/>
    <x v="2"/>
    <x v="4"/>
    <x v="5"/>
    <n v="17"/>
    <n v="75"/>
    <n v="1275"/>
  </r>
  <r>
    <x v="138"/>
    <x v="2"/>
    <x v="2"/>
    <x v="1"/>
    <x v="3"/>
    <n v="8"/>
    <n v="315"/>
    <n v="2520"/>
  </r>
  <r>
    <x v="42"/>
    <x v="7"/>
    <x v="1"/>
    <x v="4"/>
    <x v="9"/>
    <n v="36"/>
    <n v="1575"/>
    <n v="56700"/>
  </r>
  <r>
    <x v="139"/>
    <x v="0"/>
    <x v="0"/>
    <x v="9"/>
    <x v="4"/>
    <n v="21"/>
    <n v="2001"/>
    <n v="42021"/>
  </r>
  <r>
    <x v="56"/>
    <x v="4"/>
    <x v="0"/>
    <x v="7"/>
    <x v="2"/>
    <n v="41"/>
    <n v="1080"/>
    <n v="44280"/>
  </r>
  <r>
    <x v="140"/>
    <x v="1"/>
    <x v="1"/>
    <x v="1"/>
    <x v="0"/>
    <n v="8"/>
    <n v="790"/>
    <n v="6320"/>
  </r>
  <r>
    <x v="39"/>
    <x v="0"/>
    <x v="0"/>
    <x v="9"/>
    <x v="2"/>
    <n v="47"/>
    <n v="2001"/>
    <n v="94047"/>
  </r>
  <r>
    <x v="91"/>
    <x v="3"/>
    <x v="2"/>
    <x v="9"/>
    <x v="9"/>
    <n v="14"/>
    <n v="75"/>
    <n v="1050"/>
  </r>
  <r>
    <x v="47"/>
    <x v="8"/>
    <x v="1"/>
    <x v="5"/>
    <x v="5"/>
    <n v="25"/>
    <n v="950"/>
    <n v="23750"/>
  </r>
  <r>
    <x v="141"/>
    <x v="3"/>
    <x v="2"/>
    <x v="6"/>
    <x v="7"/>
    <n v="12"/>
    <n v="75"/>
    <n v="900"/>
  </r>
  <r>
    <x v="74"/>
    <x v="3"/>
    <x v="2"/>
    <x v="0"/>
    <x v="1"/>
    <n v="35"/>
    <n v="75"/>
    <n v="2625"/>
  </r>
  <r>
    <x v="129"/>
    <x v="0"/>
    <x v="0"/>
    <x v="9"/>
    <x v="2"/>
    <n v="12"/>
    <n v="2001"/>
    <n v="24012"/>
  </r>
  <r>
    <x v="142"/>
    <x v="0"/>
    <x v="0"/>
    <x v="1"/>
    <x v="6"/>
    <n v="23"/>
    <n v="2001"/>
    <n v="46023"/>
  </r>
  <r>
    <x v="19"/>
    <x v="8"/>
    <x v="1"/>
    <x v="3"/>
    <x v="9"/>
    <n v="41"/>
    <n v="950"/>
    <n v="38950"/>
  </r>
  <r>
    <x v="143"/>
    <x v="8"/>
    <x v="1"/>
    <x v="2"/>
    <x v="4"/>
    <n v="38"/>
    <n v="950"/>
    <n v="36100"/>
  </r>
  <r>
    <x v="144"/>
    <x v="8"/>
    <x v="1"/>
    <x v="6"/>
    <x v="5"/>
    <n v="14"/>
    <n v="950"/>
    <n v="13300"/>
  </r>
  <r>
    <x v="145"/>
    <x v="7"/>
    <x v="1"/>
    <x v="9"/>
    <x v="7"/>
    <n v="17"/>
    <n v="1575"/>
    <n v="26775"/>
  </r>
  <r>
    <x v="146"/>
    <x v="8"/>
    <x v="1"/>
    <x v="9"/>
    <x v="0"/>
    <n v="33"/>
    <n v="950"/>
    <n v="31350"/>
  </r>
  <r>
    <x v="147"/>
    <x v="8"/>
    <x v="1"/>
    <x v="6"/>
    <x v="5"/>
    <n v="16"/>
    <n v="950"/>
    <n v="15200"/>
  </r>
  <r>
    <x v="148"/>
    <x v="5"/>
    <x v="0"/>
    <x v="1"/>
    <x v="2"/>
    <n v="34"/>
    <n v="1500"/>
    <n v="51000"/>
  </r>
  <r>
    <x v="126"/>
    <x v="3"/>
    <x v="2"/>
    <x v="9"/>
    <x v="4"/>
    <n v="24"/>
    <n v="75"/>
    <n v="1800"/>
  </r>
  <r>
    <x v="131"/>
    <x v="5"/>
    <x v="0"/>
    <x v="6"/>
    <x v="4"/>
    <n v="20"/>
    <n v="1500"/>
    <n v="30000"/>
  </r>
  <r>
    <x v="149"/>
    <x v="2"/>
    <x v="2"/>
    <x v="9"/>
    <x v="1"/>
    <n v="13"/>
    <n v="315"/>
    <n v="4095"/>
  </r>
  <r>
    <x v="150"/>
    <x v="7"/>
    <x v="1"/>
    <x v="6"/>
    <x v="0"/>
    <n v="48"/>
    <n v="1575"/>
    <n v="75600"/>
  </r>
  <r>
    <x v="127"/>
    <x v="5"/>
    <x v="0"/>
    <x v="0"/>
    <x v="9"/>
    <n v="34"/>
    <n v="1500"/>
    <n v="51000"/>
  </r>
  <r>
    <x v="151"/>
    <x v="8"/>
    <x v="1"/>
    <x v="9"/>
    <x v="6"/>
    <n v="37"/>
    <n v="950"/>
    <n v="35150"/>
  </r>
  <r>
    <x v="30"/>
    <x v="4"/>
    <x v="0"/>
    <x v="4"/>
    <x v="8"/>
    <n v="48"/>
    <n v="1080"/>
    <n v="51840"/>
  </r>
  <r>
    <x v="152"/>
    <x v="4"/>
    <x v="0"/>
    <x v="9"/>
    <x v="1"/>
    <n v="30"/>
    <n v="1080"/>
    <n v="32400"/>
  </r>
  <r>
    <x v="99"/>
    <x v="2"/>
    <x v="2"/>
    <x v="3"/>
    <x v="0"/>
    <n v="26"/>
    <n v="315"/>
    <n v="8190"/>
  </r>
  <r>
    <x v="153"/>
    <x v="3"/>
    <x v="2"/>
    <x v="6"/>
    <x v="0"/>
    <n v="50"/>
    <n v="75"/>
    <n v="3750"/>
  </r>
  <r>
    <x v="113"/>
    <x v="6"/>
    <x v="2"/>
    <x v="2"/>
    <x v="5"/>
    <n v="13"/>
    <n v="350"/>
    <n v="4550"/>
  </r>
  <r>
    <x v="154"/>
    <x v="6"/>
    <x v="2"/>
    <x v="8"/>
    <x v="5"/>
    <n v="49"/>
    <n v="350"/>
    <n v="17150"/>
  </r>
  <r>
    <x v="155"/>
    <x v="4"/>
    <x v="0"/>
    <x v="0"/>
    <x v="0"/>
    <n v="24"/>
    <n v="1080"/>
    <n v="25920"/>
  </r>
  <r>
    <x v="116"/>
    <x v="6"/>
    <x v="2"/>
    <x v="6"/>
    <x v="4"/>
    <n v="27"/>
    <n v="350"/>
    <n v="9450"/>
  </r>
  <r>
    <x v="156"/>
    <x v="1"/>
    <x v="1"/>
    <x v="3"/>
    <x v="4"/>
    <n v="32"/>
    <n v="790"/>
    <n v="25280"/>
  </r>
  <r>
    <x v="157"/>
    <x v="5"/>
    <x v="0"/>
    <x v="2"/>
    <x v="3"/>
    <n v="11"/>
    <n v="1500"/>
    <n v="16500"/>
  </r>
  <r>
    <x v="121"/>
    <x v="5"/>
    <x v="0"/>
    <x v="5"/>
    <x v="0"/>
    <n v="32"/>
    <n v="1500"/>
    <n v="48000"/>
  </r>
  <r>
    <x v="158"/>
    <x v="5"/>
    <x v="0"/>
    <x v="4"/>
    <x v="7"/>
    <n v="38"/>
    <n v="1500"/>
    <n v="57000"/>
  </r>
  <r>
    <x v="159"/>
    <x v="0"/>
    <x v="0"/>
    <x v="1"/>
    <x v="9"/>
    <n v="29"/>
    <n v="2001"/>
    <n v="58029"/>
  </r>
  <r>
    <x v="160"/>
    <x v="0"/>
    <x v="0"/>
    <x v="2"/>
    <x v="6"/>
    <n v="19"/>
    <n v="2001"/>
    <n v="38019"/>
  </r>
  <r>
    <x v="161"/>
    <x v="6"/>
    <x v="2"/>
    <x v="5"/>
    <x v="6"/>
    <n v="24"/>
    <n v="350"/>
    <n v="8400"/>
  </r>
  <r>
    <x v="162"/>
    <x v="6"/>
    <x v="2"/>
    <x v="0"/>
    <x v="1"/>
    <n v="23"/>
    <n v="350"/>
    <n v="8050"/>
  </r>
  <r>
    <x v="163"/>
    <x v="2"/>
    <x v="2"/>
    <x v="6"/>
    <x v="6"/>
    <n v="46"/>
    <n v="315"/>
    <n v="14490"/>
  </r>
  <r>
    <x v="71"/>
    <x v="0"/>
    <x v="0"/>
    <x v="5"/>
    <x v="1"/>
    <n v="35"/>
    <n v="2001"/>
    <n v="70035"/>
  </r>
  <r>
    <x v="164"/>
    <x v="8"/>
    <x v="1"/>
    <x v="3"/>
    <x v="5"/>
    <n v="16"/>
    <n v="950"/>
    <n v="15200"/>
  </r>
  <r>
    <x v="165"/>
    <x v="2"/>
    <x v="2"/>
    <x v="4"/>
    <x v="4"/>
    <n v="32"/>
    <n v="315"/>
    <n v="10080"/>
  </r>
  <r>
    <x v="166"/>
    <x v="8"/>
    <x v="1"/>
    <x v="1"/>
    <x v="7"/>
    <n v="45"/>
    <n v="950"/>
    <n v="42750"/>
  </r>
  <r>
    <x v="157"/>
    <x v="6"/>
    <x v="2"/>
    <x v="6"/>
    <x v="1"/>
    <n v="28"/>
    <n v="350"/>
    <n v="9800"/>
  </r>
  <r>
    <x v="167"/>
    <x v="1"/>
    <x v="1"/>
    <x v="6"/>
    <x v="4"/>
    <n v="5"/>
    <n v="790"/>
    <n v="3950"/>
  </r>
  <r>
    <x v="168"/>
    <x v="5"/>
    <x v="0"/>
    <x v="0"/>
    <x v="9"/>
    <n v="33"/>
    <n v="1500"/>
    <n v="49500"/>
  </r>
  <r>
    <x v="154"/>
    <x v="3"/>
    <x v="2"/>
    <x v="4"/>
    <x v="5"/>
    <n v="7"/>
    <n v="75"/>
    <n v="525"/>
  </r>
  <r>
    <x v="85"/>
    <x v="8"/>
    <x v="1"/>
    <x v="6"/>
    <x v="2"/>
    <n v="33"/>
    <n v="950"/>
    <n v="31350"/>
  </r>
  <r>
    <x v="169"/>
    <x v="2"/>
    <x v="2"/>
    <x v="5"/>
    <x v="4"/>
    <n v="33"/>
    <n v="315"/>
    <n v="10395"/>
  </r>
  <r>
    <x v="154"/>
    <x v="0"/>
    <x v="0"/>
    <x v="9"/>
    <x v="5"/>
    <n v="7"/>
    <n v="2001"/>
    <n v="14007"/>
  </r>
  <r>
    <x v="170"/>
    <x v="5"/>
    <x v="0"/>
    <x v="0"/>
    <x v="3"/>
    <n v="16"/>
    <n v="1500"/>
    <n v="24000"/>
  </r>
  <r>
    <x v="155"/>
    <x v="0"/>
    <x v="0"/>
    <x v="9"/>
    <x v="9"/>
    <n v="38"/>
    <n v="2001"/>
    <n v="76038"/>
  </r>
  <r>
    <x v="171"/>
    <x v="3"/>
    <x v="2"/>
    <x v="9"/>
    <x v="5"/>
    <n v="38"/>
    <n v="75"/>
    <n v="2850"/>
  </r>
  <r>
    <x v="0"/>
    <x v="6"/>
    <x v="2"/>
    <x v="9"/>
    <x v="6"/>
    <n v="37"/>
    <n v="350"/>
    <n v="12950"/>
  </r>
  <r>
    <x v="162"/>
    <x v="8"/>
    <x v="1"/>
    <x v="4"/>
    <x v="1"/>
    <n v="4"/>
    <n v="950"/>
    <n v="3800"/>
  </r>
  <r>
    <x v="100"/>
    <x v="4"/>
    <x v="0"/>
    <x v="9"/>
    <x v="2"/>
    <n v="27"/>
    <n v="1080"/>
    <n v="29160"/>
  </r>
  <r>
    <x v="170"/>
    <x v="6"/>
    <x v="2"/>
    <x v="4"/>
    <x v="6"/>
    <n v="27"/>
    <n v="350"/>
    <n v="9450"/>
  </r>
  <r>
    <x v="8"/>
    <x v="7"/>
    <x v="1"/>
    <x v="6"/>
    <x v="7"/>
    <n v="41"/>
    <n v="1575"/>
    <n v="64575"/>
  </r>
  <r>
    <x v="5"/>
    <x v="4"/>
    <x v="0"/>
    <x v="9"/>
    <x v="0"/>
    <n v="14"/>
    <n v="1080"/>
    <n v="15120"/>
  </r>
  <r>
    <x v="120"/>
    <x v="5"/>
    <x v="0"/>
    <x v="5"/>
    <x v="0"/>
    <n v="50"/>
    <n v="1500"/>
    <n v="75000"/>
  </r>
  <r>
    <x v="172"/>
    <x v="4"/>
    <x v="0"/>
    <x v="6"/>
    <x v="2"/>
    <n v="6"/>
    <n v="1080"/>
    <n v="6480"/>
  </r>
  <r>
    <x v="173"/>
    <x v="0"/>
    <x v="0"/>
    <x v="5"/>
    <x v="8"/>
    <n v="36"/>
    <n v="2001"/>
    <n v="72036"/>
  </r>
  <r>
    <x v="16"/>
    <x v="2"/>
    <x v="2"/>
    <x v="4"/>
    <x v="9"/>
    <n v="20"/>
    <n v="315"/>
    <n v="6300"/>
  </r>
  <r>
    <x v="174"/>
    <x v="8"/>
    <x v="1"/>
    <x v="7"/>
    <x v="4"/>
    <n v="14"/>
    <n v="950"/>
    <n v="13300"/>
  </r>
  <r>
    <x v="175"/>
    <x v="8"/>
    <x v="1"/>
    <x v="7"/>
    <x v="8"/>
    <n v="45"/>
    <n v="950"/>
    <n v="42750"/>
  </r>
  <r>
    <x v="176"/>
    <x v="5"/>
    <x v="0"/>
    <x v="7"/>
    <x v="4"/>
    <n v="39"/>
    <n v="1500"/>
    <n v="58500"/>
  </r>
  <r>
    <x v="76"/>
    <x v="1"/>
    <x v="1"/>
    <x v="5"/>
    <x v="9"/>
    <n v="17"/>
    <n v="790"/>
    <n v="13430"/>
  </r>
  <r>
    <x v="121"/>
    <x v="4"/>
    <x v="0"/>
    <x v="9"/>
    <x v="6"/>
    <n v="47"/>
    <n v="1080"/>
    <n v="50760"/>
  </r>
  <r>
    <x v="121"/>
    <x v="8"/>
    <x v="1"/>
    <x v="8"/>
    <x v="8"/>
    <n v="45"/>
    <n v="950"/>
    <n v="42750"/>
  </r>
  <r>
    <x v="177"/>
    <x v="7"/>
    <x v="1"/>
    <x v="0"/>
    <x v="4"/>
    <n v="15"/>
    <n v="1575"/>
    <n v="23625"/>
  </r>
  <r>
    <x v="166"/>
    <x v="3"/>
    <x v="2"/>
    <x v="4"/>
    <x v="1"/>
    <n v="35"/>
    <n v="75"/>
    <n v="2625"/>
  </r>
  <r>
    <x v="178"/>
    <x v="5"/>
    <x v="0"/>
    <x v="4"/>
    <x v="2"/>
    <n v="40"/>
    <n v="1500"/>
    <n v="60000"/>
  </r>
  <r>
    <x v="179"/>
    <x v="3"/>
    <x v="2"/>
    <x v="4"/>
    <x v="2"/>
    <n v="38"/>
    <n v="75"/>
    <n v="2850"/>
  </r>
  <r>
    <x v="27"/>
    <x v="4"/>
    <x v="0"/>
    <x v="7"/>
    <x v="6"/>
    <n v="22"/>
    <n v="1080"/>
    <n v="23760"/>
  </r>
  <r>
    <x v="180"/>
    <x v="6"/>
    <x v="2"/>
    <x v="1"/>
    <x v="8"/>
    <n v="3"/>
    <n v="350"/>
    <n v="1050"/>
  </r>
  <r>
    <x v="96"/>
    <x v="8"/>
    <x v="1"/>
    <x v="1"/>
    <x v="7"/>
    <n v="4"/>
    <n v="950"/>
    <n v="3800"/>
  </r>
  <r>
    <x v="181"/>
    <x v="0"/>
    <x v="0"/>
    <x v="2"/>
    <x v="0"/>
    <n v="44"/>
    <n v="2001"/>
    <n v="88044"/>
  </r>
  <r>
    <x v="182"/>
    <x v="8"/>
    <x v="1"/>
    <x v="4"/>
    <x v="0"/>
    <n v="25"/>
    <n v="950"/>
    <n v="23750"/>
  </r>
  <r>
    <x v="40"/>
    <x v="4"/>
    <x v="0"/>
    <x v="2"/>
    <x v="8"/>
    <n v="35"/>
    <n v="1080"/>
    <n v="37800"/>
  </r>
  <r>
    <x v="66"/>
    <x v="1"/>
    <x v="1"/>
    <x v="4"/>
    <x v="7"/>
    <n v="45"/>
    <n v="790"/>
    <n v="35550"/>
  </r>
  <r>
    <x v="50"/>
    <x v="6"/>
    <x v="2"/>
    <x v="9"/>
    <x v="8"/>
    <n v="34"/>
    <n v="350"/>
    <n v="11900"/>
  </r>
  <r>
    <x v="183"/>
    <x v="4"/>
    <x v="0"/>
    <x v="2"/>
    <x v="7"/>
    <n v="32"/>
    <n v="1080"/>
    <n v="34560"/>
  </r>
  <r>
    <x v="44"/>
    <x v="0"/>
    <x v="0"/>
    <x v="7"/>
    <x v="1"/>
    <n v="28"/>
    <n v="2001"/>
    <n v="56028"/>
  </r>
  <r>
    <x v="184"/>
    <x v="1"/>
    <x v="1"/>
    <x v="5"/>
    <x v="8"/>
    <n v="17"/>
    <n v="790"/>
    <n v="13430"/>
  </r>
  <r>
    <x v="7"/>
    <x v="4"/>
    <x v="0"/>
    <x v="9"/>
    <x v="3"/>
    <n v="31"/>
    <n v="1080"/>
    <n v="33480"/>
  </r>
  <r>
    <x v="185"/>
    <x v="4"/>
    <x v="0"/>
    <x v="7"/>
    <x v="4"/>
    <n v="2"/>
    <n v="1080"/>
    <n v="2160"/>
  </r>
  <r>
    <x v="150"/>
    <x v="5"/>
    <x v="0"/>
    <x v="9"/>
    <x v="6"/>
    <n v="35"/>
    <n v="1500"/>
    <n v="52500"/>
  </r>
  <r>
    <x v="97"/>
    <x v="7"/>
    <x v="1"/>
    <x v="1"/>
    <x v="0"/>
    <n v="48"/>
    <n v="1575"/>
    <n v="75600"/>
  </r>
  <r>
    <x v="82"/>
    <x v="1"/>
    <x v="1"/>
    <x v="5"/>
    <x v="2"/>
    <n v="6"/>
    <n v="790"/>
    <n v="4740"/>
  </r>
  <r>
    <x v="186"/>
    <x v="6"/>
    <x v="2"/>
    <x v="5"/>
    <x v="7"/>
    <n v="29"/>
    <n v="350"/>
    <n v="10150"/>
  </r>
  <r>
    <x v="187"/>
    <x v="4"/>
    <x v="0"/>
    <x v="1"/>
    <x v="9"/>
    <n v="41"/>
    <n v="1080"/>
    <n v="44280"/>
  </r>
  <r>
    <x v="16"/>
    <x v="8"/>
    <x v="1"/>
    <x v="4"/>
    <x v="2"/>
    <n v="11"/>
    <n v="950"/>
    <n v="10450"/>
  </r>
  <r>
    <x v="188"/>
    <x v="8"/>
    <x v="1"/>
    <x v="8"/>
    <x v="0"/>
    <n v="30"/>
    <n v="950"/>
    <n v="28500"/>
  </r>
  <r>
    <x v="189"/>
    <x v="8"/>
    <x v="1"/>
    <x v="6"/>
    <x v="6"/>
    <n v="11"/>
    <n v="950"/>
    <n v="10450"/>
  </r>
  <r>
    <x v="31"/>
    <x v="6"/>
    <x v="2"/>
    <x v="6"/>
    <x v="8"/>
    <n v="39"/>
    <n v="350"/>
    <n v="13650"/>
  </r>
  <r>
    <x v="190"/>
    <x v="4"/>
    <x v="0"/>
    <x v="6"/>
    <x v="1"/>
    <n v="49"/>
    <n v="1080"/>
    <n v="52920"/>
  </r>
  <r>
    <x v="173"/>
    <x v="5"/>
    <x v="0"/>
    <x v="7"/>
    <x v="7"/>
    <n v="27"/>
    <n v="1500"/>
    <n v="40500"/>
  </r>
  <r>
    <x v="20"/>
    <x v="8"/>
    <x v="1"/>
    <x v="5"/>
    <x v="4"/>
    <n v="25"/>
    <n v="950"/>
    <n v="23750"/>
  </r>
  <r>
    <x v="28"/>
    <x v="4"/>
    <x v="0"/>
    <x v="4"/>
    <x v="4"/>
    <n v="45"/>
    <n v="1080"/>
    <n v="48600"/>
  </r>
  <r>
    <x v="191"/>
    <x v="3"/>
    <x v="2"/>
    <x v="4"/>
    <x v="9"/>
    <n v="20"/>
    <n v="75"/>
    <n v="1500"/>
  </r>
  <r>
    <x v="192"/>
    <x v="7"/>
    <x v="1"/>
    <x v="5"/>
    <x v="6"/>
    <n v="30"/>
    <n v="1575"/>
    <n v="47250"/>
  </r>
  <r>
    <x v="193"/>
    <x v="7"/>
    <x v="1"/>
    <x v="8"/>
    <x v="1"/>
    <n v="29"/>
    <n v="1575"/>
    <n v="45675"/>
  </r>
  <r>
    <x v="119"/>
    <x v="7"/>
    <x v="1"/>
    <x v="5"/>
    <x v="9"/>
    <n v="9"/>
    <n v="1575"/>
    <n v="14175"/>
  </r>
  <r>
    <x v="64"/>
    <x v="7"/>
    <x v="1"/>
    <x v="1"/>
    <x v="3"/>
    <n v="45"/>
    <n v="1575"/>
    <n v="70875"/>
  </r>
  <r>
    <x v="184"/>
    <x v="2"/>
    <x v="2"/>
    <x v="0"/>
    <x v="0"/>
    <n v="45"/>
    <n v="315"/>
    <n v="14175"/>
  </r>
  <r>
    <x v="78"/>
    <x v="0"/>
    <x v="0"/>
    <x v="3"/>
    <x v="7"/>
    <n v="3"/>
    <n v="2001"/>
    <n v="6003"/>
  </r>
  <r>
    <x v="194"/>
    <x v="8"/>
    <x v="1"/>
    <x v="2"/>
    <x v="1"/>
    <n v="32"/>
    <n v="950"/>
    <n v="30400"/>
  </r>
  <r>
    <x v="195"/>
    <x v="4"/>
    <x v="0"/>
    <x v="0"/>
    <x v="1"/>
    <n v="1"/>
    <n v="1080"/>
    <n v="1080"/>
  </r>
  <r>
    <x v="196"/>
    <x v="0"/>
    <x v="0"/>
    <x v="2"/>
    <x v="2"/>
    <n v="37"/>
    <n v="2001"/>
    <n v="74037"/>
  </r>
  <r>
    <x v="33"/>
    <x v="7"/>
    <x v="1"/>
    <x v="8"/>
    <x v="0"/>
    <n v="5"/>
    <n v="1575"/>
    <n v="7875"/>
  </r>
  <r>
    <x v="197"/>
    <x v="2"/>
    <x v="2"/>
    <x v="3"/>
    <x v="1"/>
    <n v="13"/>
    <n v="315"/>
    <n v="4095"/>
  </r>
  <r>
    <x v="198"/>
    <x v="6"/>
    <x v="2"/>
    <x v="7"/>
    <x v="2"/>
    <n v="3"/>
    <n v="350"/>
    <n v="1050"/>
  </r>
  <r>
    <x v="199"/>
    <x v="6"/>
    <x v="2"/>
    <x v="6"/>
    <x v="4"/>
    <n v="5"/>
    <n v="350"/>
    <n v="1750"/>
  </r>
  <r>
    <x v="90"/>
    <x v="4"/>
    <x v="0"/>
    <x v="7"/>
    <x v="9"/>
    <n v="40"/>
    <n v="1080"/>
    <n v="43200"/>
  </r>
  <r>
    <x v="200"/>
    <x v="7"/>
    <x v="1"/>
    <x v="9"/>
    <x v="9"/>
    <n v="13"/>
    <n v="1575"/>
    <n v="20475"/>
  </r>
  <r>
    <x v="94"/>
    <x v="1"/>
    <x v="1"/>
    <x v="0"/>
    <x v="7"/>
    <n v="34"/>
    <n v="790"/>
    <n v="26860"/>
  </r>
  <r>
    <x v="201"/>
    <x v="5"/>
    <x v="0"/>
    <x v="9"/>
    <x v="1"/>
    <n v="15"/>
    <n v="1500"/>
    <n v="22500"/>
  </r>
  <r>
    <x v="158"/>
    <x v="6"/>
    <x v="2"/>
    <x v="8"/>
    <x v="5"/>
    <n v="27"/>
    <n v="350"/>
    <n v="9450"/>
  </r>
  <r>
    <x v="202"/>
    <x v="3"/>
    <x v="2"/>
    <x v="3"/>
    <x v="1"/>
    <n v="3"/>
    <n v="75"/>
    <n v="225"/>
  </r>
  <r>
    <x v="51"/>
    <x v="5"/>
    <x v="0"/>
    <x v="6"/>
    <x v="3"/>
    <n v="32"/>
    <n v="1500"/>
    <n v="48000"/>
  </r>
  <r>
    <x v="203"/>
    <x v="8"/>
    <x v="1"/>
    <x v="0"/>
    <x v="4"/>
    <n v="16"/>
    <n v="950"/>
    <n v="15200"/>
  </r>
  <r>
    <x v="174"/>
    <x v="4"/>
    <x v="0"/>
    <x v="4"/>
    <x v="5"/>
    <n v="33"/>
    <n v="1080"/>
    <n v="35640"/>
  </r>
  <r>
    <x v="50"/>
    <x v="3"/>
    <x v="2"/>
    <x v="3"/>
    <x v="7"/>
    <n v="41"/>
    <n v="75"/>
    <n v="3075"/>
  </r>
  <r>
    <x v="204"/>
    <x v="1"/>
    <x v="1"/>
    <x v="0"/>
    <x v="9"/>
    <n v="46"/>
    <n v="790"/>
    <n v="36340"/>
  </r>
  <r>
    <x v="81"/>
    <x v="6"/>
    <x v="2"/>
    <x v="3"/>
    <x v="7"/>
    <n v="29"/>
    <n v="350"/>
    <n v="10150"/>
  </r>
  <r>
    <x v="111"/>
    <x v="8"/>
    <x v="1"/>
    <x v="9"/>
    <x v="9"/>
    <n v="49"/>
    <n v="950"/>
    <n v="46550"/>
  </r>
  <r>
    <x v="205"/>
    <x v="1"/>
    <x v="1"/>
    <x v="6"/>
    <x v="4"/>
    <n v="12"/>
    <n v="790"/>
    <n v="9480"/>
  </r>
  <r>
    <x v="206"/>
    <x v="4"/>
    <x v="0"/>
    <x v="9"/>
    <x v="1"/>
    <n v="25"/>
    <n v="1080"/>
    <n v="27000"/>
  </r>
  <r>
    <x v="119"/>
    <x v="6"/>
    <x v="2"/>
    <x v="0"/>
    <x v="3"/>
    <n v="12"/>
    <n v="350"/>
    <n v="4200"/>
  </r>
  <r>
    <x v="207"/>
    <x v="1"/>
    <x v="1"/>
    <x v="0"/>
    <x v="1"/>
    <n v="45"/>
    <n v="790"/>
    <n v="35550"/>
  </r>
  <r>
    <x v="208"/>
    <x v="6"/>
    <x v="2"/>
    <x v="5"/>
    <x v="1"/>
    <n v="49"/>
    <n v="350"/>
    <n v="17150"/>
  </r>
  <r>
    <x v="44"/>
    <x v="2"/>
    <x v="2"/>
    <x v="8"/>
    <x v="5"/>
    <n v="32"/>
    <n v="315"/>
    <n v="10080"/>
  </r>
  <r>
    <x v="49"/>
    <x v="8"/>
    <x v="1"/>
    <x v="2"/>
    <x v="8"/>
    <n v="9"/>
    <n v="950"/>
    <n v="8550"/>
  </r>
  <r>
    <x v="80"/>
    <x v="4"/>
    <x v="0"/>
    <x v="7"/>
    <x v="8"/>
    <n v="48"/>
    <n v="1080"/>
    <n v="51840"/>
  </r>
  <r>
    <x v="209"/>
    <x v="5"/>
    <x v="0"/>
    <x v="2"/>
    <x v="2"/>
    <n v="33"/>
    <n v="1500"/>
    <n v="49500"/>
  </r>
  <r>
    <x v="82"/>
    <x v="3"/>
    <x v="2"/>
    <x v="5"/>
    <x v="7"/>
    <n v="26"/>
    <n v="75"/>
    <n v="1950"/>
  </r>
  <r>
    <x v="210"/>
    <x v="8"/>
    <x v="1"/>
    <x v="6"/>
    <x v="0"/>
    <n v="45"/>
    <n v="950"/>
    <n v="42750"/>
  </r>
  <r>
    <x v="200"/>
    <x v="7"/>
    <x v="1"/>
    <x v="8"/>
    <x v="1"/>
    <n v="34"/>
    <n v="1575"/>
    <n v="53550"/>
  </r>
  <r>
    <x v="192"/>
    <x v="7"/>
    <x v="1"/>
    <x v="4"/>
    <x v="8"/>
    <n v="22"/>
    <n v="1575"/>
    <n v="34650"/>
  </r>
  <r>
    <x v="57"/>
    <x v="0"/>
    <x v="0"/>
    <x v="6"/>
    <x v="8"/>
    <n v="43"/>
    <n v="2001"/>
    <n v="86043"/>
  </r>
  <r>
    <x v="165"/>
    <x v="5"/>
    <x v="0"/>
    <x v="3"/>
    <x v="3"/>
    <n v="41"/>
    <n v="1500"/>
    <n v="61500"/>
  </r>
  <r>
    <x v="211"/>
    <x v="2"/>
    <x v="2"/>
    <x v="2"/>
    <x v="6"/>
    <n v="50"/>
    <n v="315"/>
    <n v="15750"/>
  </r>
  <r>
    <x v="212"/>
    <x v="6"/>
    <x v="2"/>
    <x v="5"/>
    <x v="4"/>
    <n v="8"/>
    <n v="350"/>
    <n v="2800"/>
  </r>
  <r>
    <x v="194"/>
    <x v="0"/>
    <x v="0"/>
    <x v="8"/>
    <x v="0"/>
    <n v="37"/>
    <n v="2001"/>
    <n v="74037"/>
  </r>
  <r>
    <x v="213"/>
    <x v="5"/>
    <x v="0"/>
    <x v="2"/>
    <x v="5"/>
    <n v="1"/>
    <n v="1500"/>
    <n v="1500"/>
  </r>
  <r>
    <x v="214"/>
    <x v="7"/>
    <x v="1"/>
    <x v="3"/>
    <x v="5"/>
    <n v="13"/>
    <n v="1575"/>
    <n v="20475"/>
  </r>
  <r>
    <x v="19"/>
    <x v="1"/>
    <x v="1"/>
    <x v="6"/>
    <x v="9"/>
    <n v="10"/>
    <n v="790"/>
    <n v="7900"/>
  </r>
  <r>
    <x v="99"/>
    <x v="2"/>
    <x v="2"/>
    <x v="7"/>
    <x v="5"/>
    <n v="29"/>
    <n v="315"/>
    <n v="9135"/>
  </r>
  <r>
    <x v="148"/>
    <x v="3"/>
    <x v="2"/>
    <x v="7"/>
    <x v="0"/>
    <n v="25"/>
    <n v="75"/>
    <n v="1875"/>
  </r>
  <r>
    <x v="215"/>
    <x v="0"/>
    <x v="0"/>
    <x v="5"/>
    <x v="1"/>
    <n v="1"/>
    <n v="2001"/>
    <n v="2001"/>
  </r>
  <r>
    <x v="216"/>
    <x v="0"/>
    <x v="0"/>
    <x v="4"/>
    <x v="1"/>
    <n v="17"/>
    <n v="2001"/>
    <n v="34017"/>
  </r>
  <r>
    <x v="83"/>
    <x v="1"/>
    <x v="1"/>
    <x v="5"/>
    <x v="7"/>
    <n v="18"/>
    <n v="790"/>
    <n v="14220"/>
  </r>
  <r>
    <x v="66"/>
    <x v="6"/>
    <x v="2"/>
    <x v="1"/>
    <x v="1"/>
    <n v="40"/>
    <n v="350"/>
    <n v="14000"/>
  </r>
  <r>
    <x v="1"/>
    <x v="2"/>
    <x v="2"/>
    <x v="7"/>
    <x v="8"/>
    <n v="22"/>
    <n v="315"/>
    <n v="6930"/>
  </r>
  <r>
    <x v="156"/>
    <x v="7"/>
    <x v="1"/>
    <x v="1"/>
    <x v="4"/>
    <n v="7"/>
    <n v="1575"/>
    <n v="11025"/>
  </r>
  <r>
    <x v="80"/>
    <x v="8"/>
    <x v="1"/>
    <x v="6"/>
    <x v="6"/>
    <n v="28"/>
    <n v="950"/>
    <n v="26600"/>
  </r>
  <r>
    <x v="217"/>
    <x v="0"/>
    <x v="0"/>
    <x v="8"/>
    <x v="0"/>
    <n v="21"/>
    <n v="2001"/>
    <n v="42021"/>
  </r>
  <r>
    <x v="218"/>
    <x v="1"/>
    <x v="1"/>
    <x v="9"/>
    <x v="4"/>
    <n v="3"/>
    <n v="790"/>
    <n v="2370"/>
  </r>
  <r>
    <x v="219"/>
    <x v="1"/>
    <x v="1"/>
    <x v="5"/>
    <x v="3"/>
    <n v="11"/>
    <n v="790"/>
    <n v="8690"/>
  </r>
  <r>
    <x v="220"/>
    <x v="3"/>
    <x v="2"/>
    <x v="9"/>
    <x v="6"/>
    <n v="4"/>
    <n v="75"/>
    <n v="300"/>
  </r>
  <r>
    <x v="221"/>
    <x v="4"/>
    <x v="0"/>
    <x v="4"/>
    <x v="6"/>
    <n v="40"/>
    <n v="1080"/>
    <n v="43200"/>
  </r>
  <r>
    <x v="43"/>
    <x v="5"/>
    <x v="0"/>
    <x v="5"/>
    <x v="8"/>
    <n v="31"/>
    <n v="1500"/>
    <n v="46500"/>
  </r>
  <r>
    <x v="222"/>
    <x v="0"/>
    <x v="0"/>
    <x v="8"/>
    <x v="1"/>
    <n v="13"/>
    <n v="2001"/>
    <n v="26013"/>
  </r>
  <r>
    <x v="223"/>
    <x v="2"/>
    <x v="2"/>
    <x v="0"/>
    <x v="8"/>
    <n v="49"/>
    <n v="315"/>
    <n v="15435"/>
  </r>
  <r>
    <x v="224"/>
    <x v="8"/>
    <x v="1"/>
    <x v="0"/>
    <x v="4"/>
    <n v="15"/>
    <n v="950"/>
    <n v="14250"/>
  </r>
  <r>
    <x v="65"/>
    <x v="4"/>
    <x v="0"/>
    <x v="5"/>
    <x v="2"/>
    <n v="49"/>
    <n v="1080"/>
    <n v="52920"/>
  </r>
  <r>
    <x v="128"/>
    <x v="2"/>
    <x v="2"/>
    <x v="7"/>
    <x v="1"/>
    <n v="13"/>
    <n v="315"/>
    <n v="4095"/>
  </r>
  <r>
    <x v="103"/>
    <x v="2"/>
    <x v="2"/>
    <x v="0"/>
    <x v="0"/>
    <n v="33"/>
    <n v="315"/>
    <n v="10395"/>
  </r>
  <r>
    <x v="167"/>
    <x v="7"/>
    <x v="1"/>
    <x v="2"/>
    <x v="0"/>
    <n v="33"/>
    <n v="1575"/>
    <n v="51975"/>
  </r>
  <r>
    <x v="66"/>
    <x v="1"/>
    <x v="1"/>
    <x v="7"/>
    <x v="6"/>
    <n v="31"/>
    <n v="790"/>
    <n v="24490"/>
  </r>
  <r>
    <x v="206"/>
    <x v="0"/>
    <x v="0"/>
    <x v="5"/>
    <x v="1"/>
    <n v="30"/>
    <n v="2001"/>
    <n v="60030"/>
  </r>
  <r>
    <x v="225"/>
    <x v="7"/>
    <x v="1"/>
    <x v="5"/>
    <x v="6"/>
    <n v="7"/>
    <n v="1575"/>
    <n v="11025"/>
  </r>
  <r>
    <x v="204"/>
    <x v="6"/>
    <x v="2"/>
    <x v="1"/>
    <x v="5"/>
    <n v="10"/>
    <n v="350"/>
    <n v="3500"/>
  </r>
  <r>
    <x v="213"/>
    <x v="4"/>
    <x v="0"/>
    <x v="3"/>
    <x v="8"/>
    <n v="40"/>
    <n v="1080"/>
    <n v="43200"/>
  </r>
  <r>
    <x v="201"/>
    <x v="5"/>
    <x v="0"/>
    <x v="8"/>
    <x v="3"/>
    <n v="28"/>
    <n v="1500"/>
    <n v="42000"/>
  </r>
  <r>
    <x v="226"/>
    <x v="0"/>
    <x v="0"/>
    <x v="6"/>
    <x v="7"/>
    <n v="22"/>
    <n v="2001"/>
    <n v="44022"/>
  </r>
  <r>
    <x v="227"/>
    <x v="4"/>
    <x v="0"/>
    <x v="1"/>
    <x v="9"/>
    <n v="26"/>
    <n v="1080"/>
    <n v="28080"/>
  </r>
  <r>
    <x v="87"/>
    <x v="4"/>
    <x v="0"/>
    <x v="7"/>
    <x v="2"/>
    <n v="43"/>
    <n v="1080"/>
    <n v="46440"/>
  </r>
  <r>
    <x v="47"/>
    <x v="0"/>
    <x v="0"/>
    <x v="0"/>
    <x v="9"/>
    <n v="38"/>
    <n v="2001"/>
    <n v="76038"/>
  </r>
  <r>
    <x v="67"/>
    <x v="2"/>
    <x v="2"/>
    <x v="8"/>
    <x v="2"/>
    <n v="34"/>
    <n v="315"/>
    <n v="10710"/>
  </r>
  <r>
    <x v="87"/>
    <x v="4"/>
    <x v="0"/>
    <x v="2"/>
    <x v="8"/>
    <n v="6"/>
    <n v="1080"/>
    <n v="6480"/>
  </r>
  <r>
    <x v="34"/>
    <x v="4"/>
    <x v="0"/>
    <x v="5"/>
    <x v="8"/>
    <n v="2"/>
    <n v="1080"/>
    <n v="2160"/>
  </r>
  <r>
    <x v="228"/>
    <x v="6"/>
    <x v="2"/>
    <x v="4"/>
    <x v="8"/>
    <n v="47"/>
    <n v="350"/>
    <n v="16450"/>
  </r>
  <r>
    <x v="72"/>
    <x v="5"/>
    <x v="0"/>
    <x v="5"/>
    <x v="7"/>
    <n v="20"/>
    <n v="1500"/>
    <n v="30000"/>
  </r>
  <r>
    <x v="229"/>
    <x v="1"/>
    <x v="1"/>
    <x v="8"/>
    <x v="0"/>
    <n v="35"/>
    <n v="790"/>
    <n v="27650"/>
  </r>
  <r>
    <x v="68"/>
    <x v="2"/>
    <x v="2"/>
    <x v="8"/>
    <x v="5"/>
    <n v="25"/>
    <n v="315"/>
    <n v="7875"/>
  </r>
  <r>
    <x v="230"/>
    <x v="8"/>
    <x v="1"/>
    <x v="4"/>
    <x v="8"/>
    <n v="12"/>
    <n v="950"/>
    <n v="11400"/>
  </r>
  <r>
    <x v="74"/>
    <x v="8"/>
    <x v="1"/>
    <x v="1"/>
    <x v="0"/>
    <n v="34"/>
    <n v="950"/>
    <n v="32300"/>
  </r>
  <r>
    <x v="2"/>
    <x v="4"/>
    <x v="0"/>
    <x v="5"/>
    <x v="8"/>
    <n v="31"/>
    <n v="1080"/>
    <n v="33480"/>
  </r>
  <r>
    <x v="231"/>
    <x v="6"/>
    <x v="2"/>
    <x v="5"/>
    <x v="6"/>
    <n v="42"/>
    <n v="350"/>
    <n v="14700"/>
  </r>
  <r>
    <x v="232"/>
    <x v="8"/>
    <x v="1"/>
    <x v="1"/>
    <x v="2"/>
    <n v="49"/>
    <n v="950"/>
    <n v="46550"/>
  </r>
  <r>
    <x v="119"/>
    <x v="1"/>
    <x v="1"/>
    <x v="6"/>
    <x v="6"/>
    <n v="4"/>
    <n v="790"/>
    <n v="3160"/>
  </r>
  <r>
    <x v="233"/>
    <x v="8"/>
    <x v="1"/>
    <x v="4"/>
    <x v="7"/>
    <n v="11"/>
    <n v="950"/>
    <n v="10450"/>
  </r>
  <r>
    <x v="17"/>
    <x v="1"/>
    <x v="1"/>
    <x v="0"/>
    <x v="3"/>
    <n v="47"/>
    <n v="790"/>
    <n v="37130"/>
  </r>
  <r>
    <x v="139"/>
    <x v="0"/>
    <x v="0"/>
    <x v="4"/>
    <x v="7"/>
    <n v="39"/>
    <n v="2001"/>
    <n v="78039"/>
  </r>
  <r>
    <x v="13"/>
    <x v="5"/>
    <x v="0"/>
    <x v="8"/>
    <x v="7"/>
    <n v="9"/>
    <n v="1500"/>
    <n v="13500"/>
  </r>
  <r>
    <x v="116"/>
    <x v="8"/>
    <x v="1"/>
    <x v="7"/>
    <x v="1"/>
    <n v="41"/>
    <n v="950"/>
    <n v="38950"/>
  </r>
  <r>
    <x v="17"/>
    <x v="4"/>
    <x v="0"/>
    <x v="8"/>
    <x v="2"/>
    <n v="4"/>
    <n v="1080"/>
    <n v="4320"/>
  </r>
  <r>
    <x v="234"/>
    <x v="0"/>
    <x v="0"/>
    <x v="6"/>
    <x v="9"/>
    <n v="34"/>
    <n v="2001"/>
    <n v="68034"/>
  </r>
  <r>
    <x v="235"/>
    <x v="0"/>
    <x v="0"/>
    <x v="1"/>
    <x v="0"/>
    <n v="26"/>
    <n v="2001"/>
    <n v="52026"/>
  </r>
  <r>
    <x v="236"/>
    <x v="8"/>
    <x v="1"/>
    <x v="0"/>
    <x v="5"/>
    <n v="25"/>
    <n v="950"/>
    <n v="23750"/>
  </r>
  <r>
    <x v="237"/>
    <x v="3"/>
    <x v="2"/>
    <x v="8"/>
    <x v="1"/>
    <n v="46"/>
    <n v="75"/>
    <n v="3450"/>
  </r>
  <r>
    <x v="238"/>
    <x v="6"/>
    <x v="2"/>
    <x v="0"/>
    <x v="0"/>
    <n v="26"/>
    <n v="350"/>
    <n v="9100"/>
  </r>
  <r>
    <x v="180"/>
    <x v="5"/>
    <x v="0"/>
    <x v="6"/>
    <x v="9"/>
    <n v="43"/>
    <n v="1500"/>
    <n v="64500"/>
  </r>
  <r>
    <x v="208"/>
    <x v="1"/>
    <x v="1"/>
    <x v="1"/>
    <x v="3"/>
    <n v="21"/>
    <n v="790"/>
    <n v="16590"/>
  </r>
  <r>
    <x v="72"/>
    <x v="3"/>
    <x v="2"/>
    <x v="9"/>
    <x v="5"/>
    <n v="8"/>
    <n v="75"/>
    <n v="600"/>
  </r>
  <r>
    <x v="59"/>
    <x v="5"/>
    <x v="0"/>
    <x v="7"/>
    <x v="3"/>
    <n v="28"/>
    <n v="1500"/>
    <n v="42000"/>
  </r>
  <r>
    <x v="212"/>
    <x v="6"/>
    <x v="2"/>
    <x v="1"/>
    <x v="9"/>
    <n v="14"/>
    <n v="350"/>
    <n v="4900"/>
  </r>
  <r>
    <x v="239"/>
    <x v="7"/>
    <x v="1"/>
    <x v="7"/>
    <x v="5"/>
    <n v="18"/>
    <n v="1575"/>
    <n v="28350"/>
  </r>
  <r>
    <x v="240"/>
    <x v="6"/>
    <x v="2"/>
    <x v="8"/>
    <x v="7"/>
    <n v="16"/>
    <n v="350"/>
    <n v="5600"/>
  </r>
  <r>
    <x v="17"/>
    <x v="3"/>
    <x v="2"/>
    <x v="3"/>
    <x v="2"/>
    <n v="12"/>
    <n v="75"/>
    <n v="900"/>
  </r>
  <r>
    <x v="236"/>
    <x v="2"/>
    <x v="2"/>
    <x v="7"/>
    <x v="5"/>
    <n v="5"/>
    <n v="315"/>
    <n v="1575"/>
  </r>
  <r>
    <x v="241"/>
    <x v="1"/>
    <x v="1"/>
    <x v="8"/>
    <x v="8"/>
    <n v="40"/>
    <n v="790"/>
    <n v="31600"/>
  </r>
  <r>
    <x v="228"/>
    <x v="1"/>
    <x v="1"/>
    <x v="3"/>
    <x v="6"/>
    <n v="13"/>
    <n v="790"/>
    <n v="10270"/>
  </r>
  <r>
    <x v="242"/>
    <x v="2"/>
    <x v="2"/>
    <x v="0"/>
    <x v="7"/>
    <n v="35"/>
    <n v="315"/>
    <n v="11025"/>
  </r>
  <r>
    <x v="243"/>
    <x v="0"/>
    <x v="0"/>
    <x v="4"/>
    <x v="4"/>
    <n v="43"/>
    <n v="2001"/>
    <n v="86043"/>
  </r>
  <r>
    <x v="244"/>
    <x v="4"/>
    <x v="0"/>
    <x v="3"/>
    <x v="2"/>
    <n v="29"/>
    <n v="1080"/>
    <n v="31320"/>
  </r>
  <r>
    <x v="245"/>
    <x v="7"/>
    <x v="1"/>
    <x v="4"/>
    <x v="4"/>
    <n v="39"/>
    <n v="1575"/>
    <n v="61425"/>
  </r>
  <r>
    <x v="53"/>
    <x v="0"/>
    <x v="0"/>
    <x v="5"/>
    <x v="3"/>
    <n v="37"/>
    <n v="2001"/>
    <n v="74037"/>
  </r>
  <r>
    <x v="246"/>
    <x v="8"/>
    <x v="1"/>
    <x v="5"/>
    <x v="6"/>
    <n v="46"/>
    <n v="950"/>
    <n v="43700"/>
  </r>
  <r>
    <x v="226"/>
    <x v="6"/>
    <x v="2"/>
    <x v="8"/>
    <x v="6"/>
    <n v="28"/>
    <n v="350"/>
    <n v="9800"/>
  </r>
  <r>
    <x v="247"/>
    <x v="5"/>
    <x v="0"/>
    <x v="1"/>
    <x v="8"/>
    <n v="32"/>
    <n v="1500"/>
    <n v="48000"/>
  </r>
  <r>
    <x v="80"/>
    <x v="5"/>
    <x v="0"/>
    <x v="6"/>
    <x v="2"/>
    <n v="17"/>
    <n v="1500"/>
    <n v="25500"/>
  </r>
  <r>
    <x v="13"/>
    <x v="8"/>
    <x v="1"/>
    <x v="4"/>
    <x v="1"/>
    <n v="16"/>
    <n v="950"/>
    <n v="15200"/>
  </r>
  <r>
    <x v="18"/>
    <x v="1"/>
    <x v="1"/>
    <x v="1"/>
    <x v="1"/>
    <n v="21"/>
    <n v="790"/>
    <n v="16590"/>
  </r>
  <r>
    <x v="248"/>
    <x v="0"/>
    <x v="0"/>
    <x v="3"/>
    <x v="7"/>
    <n v="38"/>
    <n v="2001"/>
    <n v="76038"/>
  </r>
  <r>
    <x v="108"/>
    <x v="7"/>
    <x v="1"/>
    <x v="4"/>
    <x v="6"/>
    <n v="39"/>
    <n v="1575"/>
    <n v="61425"/>
  </r>
  <r>
    <x v="210"/>
    <x v="4"/>
    <x v="0"/>
    <x v="9"/>
    <x v="2"/>
    <n v="38"/>
    <n v="1080"/>
    <n v="41040"/>
  </r>
  <r>
    <x v="186"/>
    <x v="5"/>
    <x v="0"/>
    <x v="2"/>
    <x v="3"/>
    <n v="26"/>
    <n v="1500"/>
    <n v="39000"/>
  </r>
  <r>
    <x v="249"/>
    <x v="3"/>
    <x v="2"/>
    <x v="6"/>
    <x v="4"/>
    <n v="23"/>
    <n v="75"/>
    <n v="1725"/>
  </r>
  <r>
    <x v="106"/>
    <x v="7"/>
    <x v="1"/>
    <x v="6"/>
    <x v="9"/>
    <n v="25"/>
    <n v="1575"/>
    <n v="39375"/>
  </r>
  <r>
    <x v="147"/>
    <x v="1"/>
    <x v="1"/>
    <x v="2"/>
    <x v="7"/>
    <n v="50"/>
    <n v="790"/>
    <n v="39500"/>
  </r>
  <r>
    <x v="212"/>
    <x v="3"/>
    <x v="2"/>
    <x v="1"/>
    <x v="0"/>
    <n v="46"/>
    <n v="75"/>
    <n v="3450"/>
  </r>
  <r>
    <x v="250"/>
    <x v="1"/>
    <x v="1"/>
    <x v="0"/>
    <x v="6"/>
    <n v="40"/>
    <n v="790"/>
    <n v="31600"/>
  </r>
  <r>
    <x v="242"/>
    <x v="8"/>
    <x v="1"/>
    <x v="1"/>
    <x v="7"/>
    <n v="18"/>
    <n v="950"/>
    <n v="17100"/>
  </r>
  <r>
    <x v="157"/>
    <x v="8"/>
    <x v="1"/>
    <x v="5"/>
    <x v="4"/>
    <n v="33"/>
    <n v="950"/>
    <n v="31350"/>
  </r>
  <r>
    <x v="246"/>
    <x v="5"/>
    <x v="0"/>
    <x v="2"/>
    <x v="3"/>
    <n v="43"/>
    <n v="1500"/>
    <n v="64500"/>
  </r>
  <r>
    <x v="243"/>
    <x v="5"/>
    <x v="0"/>
    <x v="9"/>
    <x v="1"/>
    <n v="34"/>
    <n v="1500"/>
    <n v="51000"/>
  </r>
  <r>
    <x v="180"/>
    <x v="3"/>
    <x v="2"/>
    <x v="5"/>
    <x v="1"/>
    <n v="4"/>
    <n v="75"/>
    <n v="300"/>
  </r>
  <r>
    <x v="145"/>
    <x v="7"/>
    <x v="1"/>
    <x v="4"/>
    <x v="4"/>
    <n v="44"/>
    <n v="1575"/>
    <n v="69300"/>
  </r>
  <r>
    <x v="64"/>
    <x v="4"/>
    <x v="0"/>
    <x v="0"/>
    <x v="9"/>
    <n v="16"/>
    <n v="1080"/>
    <n v="17280"/>
  </r>
  <r>
    <x v="251"/>
    <x v="7"/>
    <x v="1"/>
    <x v="8"/>
    <x v="9"/>
    <n v="43"/>
    <n v="1575"/>
    <n v="67725"/>
  </r>
  <r>
    <x v="252"/>
    <x v="3"/>
    <x v="2"/>
    <x v="8"/>
    <x v="8"/>
    <n v="41"/>
    <n v="75"/>
    <n v="3075"/>
  </r>
  <r>
    <x v="186"/>
    <x v="6"/>
    <x v="2"/>
    <x v="3"/>
    <x v="8"/>
    <n v="18"/>
    <n v="350"/>
    <n v="6300"/>
  </r>
  <r>
    <x v="253"/>
    <x v="0"/>
    <x v="0"/>
    <x v="7"/>
    <x v="3"/>
    <n v="36"/>
    <n v="2001"/>
    <n v="72036"/>
  </r>
  <r>
    <x v="254"/>
    <x v="4"/>
    <x v="0"/>
    <x v="4"/>
    <x v="3"/>
    <n v="17"/>
    <n v="1080"/>
    <n v="18360"/>
  </r>
  <r>
    <x v="67"/>
    <x v="4"/>
    <x v="0"/>
    <x v="7"/>
    <x v="9"/>
    <n v="46"/>
    <n v="1080"/>
    <n v="49680"/>
  </r>
  <r>
    <x v="142"/>
    <x v="3"/>
    <x v="2"/>
    <x v="2"/>
    <x v="5"/>
    <n v="49"/>
    <n v="75"/>
    <n v="3675"/>
  </r>
  <r>
    <x v="72"/>
    <x v="1"/>
    <x v="1"/>
    <x v="2"/>
    <x v="5"/>
    <n v="18"/>
    <n v="790"/>
    <n v="14220"/>
  </r>
  <r>
    <x v="84"/>
    <x v="6"/>
    <x v="2"/>
    <x v="2"/>
    <x v="0"/>
    <n v="30"/>
    <n v="350"/>
    <n v="10500"/>
  </r>
  <r>
    <x v="197"/>
    <x v="5"/>
    <x v="0"/>
    <x v="8"/>
    <x v="9"/>
    <n v="7"/>
    <n v="1500"/>
    <n v="10500"/>
  </r>
  <r>
    <x v="255"/>
    <x v="6"/>
    <x v="2"/>
    <x v="2"/>
    <x v="9"/>
    <n v="14"/>
    <n v="350"/>
    <n v="4900"/>
  </r>
  <r>
    <x v="256"/>
    <x v="6"/>
    <x v="2"/>
    <x v="1"/>
    <x v="8"/>
    <n v="15"/>
    <n v="350"/>
    <n v="5250"/>
  </r>
  <r>
    <x v="257"/>
    <x v="4"/>
    <x v="0"/>
    <x v="3"/>
    <x v="2"/>
    <n v="37"/>
    <n v="1080"/>
    <n v="39960"/>
  </r>
  <r>
    <x v="258"/>
    <x v="1"/>
    <x v="1"/>
    <x v="5"/>
    <x v="1"/>
    <n v="2"/>
    <n v="790"/>
    <n v="1580"/>
  </r>
  <r>
    <x v="177"/>
    <x v="2"/>
    <x v="2"/>
    <x v="8"/>
    <x v="0"/>
    <n v="23"/>
    <n v="315"/>
    <n v="7245"/>
  </r>
  <r>
    <x v="53"/>
    <x v="7"/>
    <x v="1"/>
    <x v="3"/>
    <x v="2"/>
    <n v="8"/>
    <n v="1575"/>
    <n v="12600"/>
  </r>
  <r>
    <x v="102"/>
    <x v="6"/>
    <x v="2"/>
    <x v="3"/>
    <x v="5"/>
    <n v="28"/>
    <n v="350"/>
    <n v="9800"/>
  </r>
  <r>
    <x v="26"/>
    <x v="6"/>
    <x v="2"/>
    <x v="9"/>
    <x v="0"/>
    <n v="38"/>
    <n v="350"/>
    <n v="13300"/>
  </r>
  <r>
    <x v="154"/>
    <x v="7"/>
    <x v="1"/>
    <x v="8"/>
    <x v="1"/>
    <n v="3"/>
    <n v="1575"/>
    <n v="4725"/>
  </r>
  <r>
    <x v="18"/>
    <x v="6"/>
    <x v="2"/>
    <x v="0"/>
    <x v="2"/>
    <n v="18"/>
    <n v="350"/>
    <n v="6300"/>
  </r>
  <r>
    <x v="198"/>
    <x v="3"/>
    <x v="2"/>
    <x v="8"/>
    <x v="9"/>
    <n v="23"/>
    <n v="75"/>
    <n v="1725"/>
  </r>
  <r>
    <x v="223"/>
    <x v="5"/>
    <x v="0"/>
    <x v="0"/>
    <x v="2"/>
    <n v="35"/>
    <n v="1500"/>
    <n v="52500"/>
  </r>
  <r>
    <x v="247"/>
    <x v="6"/>
    <x v="2"/>
    <x v="6"/>
    <x v="1"/>
    <n v="32"/>
    <n v="350"/>
    <n v="11200"/>
  </r>
  <r>
    <x v="195"/>
    <x v="2"/>
    <x v="2"/>
    <x v="9"/>
    <x v="0"/>
    <n v="7"/>
    <n v="315"/>
    <n v="2205"/>
  </r>
  <r>
    <x v="13"/>
    <x v="2"/>
    <x v="2"/>
    <x v="9"/>
    <x v="2"/>
    <n v="50"/>
    <n v="315"/>
    <n v="15750"/>
  </r>
  <r>
    <x v="18"/>
    <x v="3"/>
    <x v="2"/>
    <x v="2"/>
    <x v="1"/>
    <n v="20"/>
    <n v="75"/>
    <n v="1500"/>
  </r>
  <r>
    <x v="51"/>
    <x v="0"/>
    <x v="0"/>
    <x v="5"/>
    <x v="6"/>
    <n v="26"/>
    <n v="2001"/>
    <n v="52026"/>
  </r>
  <r>
    <x v="209"/>
    <x v="3"/>
    <x v="2"/>
    <x v="3"/>
    <x v="1"/>
    <n v="47"/>
    <n v="75"/>
    <n v="3525"/>
  </r>
  <r>
    <x v="57"/>
    <x v="6"/>
    <x v="2"/>
    <x v="6"/>
    <x v="0"/>
    <n v="1"/>
    <n v="350"/>
    <n v="350"/>
  </r>
  <r>
    <x v="166"/>
    <x v="5"/>
    <x v="0"/>
    <x v="6"/>
    <x v="1"/>
    <n v="13"/>
    <n v="1500"/>
    <n v="19500"/>
  </r>
  <r>
    <x v="20"/>
    <x v="1"/>
    <x v="1"/>
    <x v="2"/>
    <x v="9"/>
    <n v="38"/>
    <n v="790"/>
    <n v="30020"/>
  </r>
  <r>
    <x v="82"/>
    <x v="6"/>
    <x v="2"/>
    <x v="8"/>
    <x v="5"/>
    <n v="11"/>
    <n v="350"/>
    <n v="3850"/>
  </r>
  <r>
    <x v="259"/>
    <x v="0"/>
    <x v="0"/>
    <x v="6"/>
    <x v="1"/>
    <n v="25"/>
    <n v="2001"/>
    <n v="50025"/>
  </r>
  <r>
    <x v="213"/>
    <x v="5"/>
    <x v="0"/>
    <x v="9"/>
    <x v="7"/>
    <n v="4"/>
    <n v="1500"/>
    <n v="6000"/>
  </r>
  <r>
    <x v="96"/>
    <x v="7"/>
    <x v="1"/>
    <x v="6"/>
    <x v="1"/>
    <n v="43"/>
    <n v="1575"/>
    <n v="67725"/>
  </r>
  <r>
    <x v="260"/>
    <x v="3"/>
    <x v="2"/>
    <x v="6"/>
    <x v="8"/>
    <n v="2"/>
    <n v="75"/>
    <n v="150"/>
  </r>
  <r>
    <x v="192"/>
    <x v="3"/>
    <x v="2"/>
    <x v="9"/>
    <x v="1"/>
    <n v="14"/>
    <n v="75"/>
    <n v="1050"/>
  </r>
  <r>
    <x v="104"/>
    <x v="2"/>
    <x v="2"/>
    <x v="6"/>
    <x v="0"/>
    <n v="28"/>
    <n v="315"/>
    <n v="8820"/>
  </r>
  <r>
    <x v="216"/>
    <x v="7"/>
    <x v="1"/>
    <x v="4"/>
    <x v="7"/>
    <n v="44"/>
    <n v="1575"/>
    <n v="69300"/>
  </r>
  <r>
    <x v="210"/>
    <x v="3"/>
    <x v="2"/>
    <x v="2"/>
    <x v="8"/>
    <n v="35"/>
    <n v="75"/>
    <n v="2625"/>
  </r>
  <r>
    <x v="261"/>
    <x v="3"/>
    <x v="2"/>
    <x v="9"/>
    <x v="3"/>
    <n v="21"/>
    <n v="75"/>
    <n v="1575"/>
  </r>
  <r>
    <x v="105"/>
    <x v="5"/>
    <x v="0"/>
    <x v="3"/>
    <x v="1"/>
    <n v="41"/>
    <n v="1500"/>
    <n v="61500"/>
  </r>
  <r>
    <x v="19"/>
    <x v="1"/>
    <x v="1"/>
    <x v="9"/>
    <x v="9"/>
    <n v="31"/>
    <n v="790"/>
    <n v="24490"/>
  </r>
  <r>
    <x v="110"/>
    <x v="3"/>
    <x v="2"/>
    <x v="2"/>
    <x v="9"/>
    <n v="31"/>
    <n v="75"/>
    <n v="2325"/>
  </r>
  <r>
    <x v="262"/>
    <x v="6"/>
    <x v="2"/>
    <x v="4"/>
    <x v="3"/>
    <n v="7"/>
    <n v="350"/>
    <n v="2450"/>
  </r>
  <r>
    <x v="81"/>
    <x v="2"/>
    <x v="2"/>
    <x v="8"/>
    <x v="3"/>
    <n v="13"/>
    <n v="315"/>
    <n v="4095"/>
  </r>
  <r>
    <x v="263"/>
    <x v="8"/>
    <x v="1"/>
    <x v="6"/>
    <x v="3"/>
    <n v="5"/>
    <n v="950"/>
    <n v="4750"/>
  </r>
  <r>
    <x v="264"/>
    <x v="5"/>
    <x v="0"/>
    <x v="2"/>
    <x v="5"/>
    <n v="46"/>
    <n v="1500"/>
    <n v="69000"/>
  </r>
  <r>
    <x v="20"/>
    <x v="2"/>
    <x v="2"/>
    <x v="2"/>
    <x v="5"/>
    <n v="18"/>
    <n v="315"/>
    <n v="5670"/>
  </r>
  <r>
    <x v="12"/>
    <x v="0"/>
    <x v="0"/>
    <x v="2"/>
    <x v="2"/>
    <n v="27"/>
    <n v="2001"/>
    <n v="54027"/>
  </r>
  <r>
    <x v="185"/>
    <x v="1"/>
    <x v="1"/>
    <x v="2"/>
    <x v="7"/>
    <n v="35"/>
    <n v="790"/>
    <n v="27650"/>
  </r>
  <r>
    <x v="26"/>
    <x v="0"/>
    <x v="0"/>
    <x v="8"/>
    <x v="1"/>
    <n v="3"/>
    <n v="2001"/>
    <n v="6003"/>
  </r>
  <r>
    <x v="207"/>
    <x v="2"/>
    <x v="2"/>
    <x v="1"/>
    <x v="3"/>
    <n v="1"/>
    <n v="315"/>
    <n v="315"/>
  </r>
  <r>
    <x v="17"/>
    <x v="8"/>
    <x v="1"/>
    <x v="4"/>
    <x v="9"/>
    <n v="40"/>
    <n v="950"/>
    <n v="38000"/>
  </r>
  <r>
    <x v="23"/>
    <x v="3"/>
    <x v="2"/>
    <x v="5"/>
    <x v="2"/>
    <n v="9"/>
    <n v="75"/>
    <n v="675"/>
  </r>
  <r>
    <x v="245"/>
    <x v="2"/>
    <x v="2"/>
    <x v="4"/>
    <x v="3"/>
    <n v="11"/>
    <n v="315"/>
    <n v="3465"/>
  </r>
  <r>
    <x v="169"/>
    <x v="5"/>
    <x v="0"/>
    <x v="2"/>
    <x v="2"/>
    <n v="21"/>
    <n v="1500"/>
    <n v="31500"/>
  </r>
  <r>
    <x v="265"/>
    <x v="2"/>
    <x v="2"/>
    <x v="6"/>
    <x v="7"/>
    <n v="27"/>
    <n v="315"/>
    <n v="8505"/>
  </r>
  <r>
    <x v="238"/>
    <x v="7"/>
    <x v="1"/>
    <x v="7"/>
    <x v="4"/>
    <n v="17"/>
    <n v="1575"/>
    <n v="26775"/>
  </r>
  <r>
    <x v="199"/>
    <x v="2"/>
    <x v="2"/>
    <x v="2"/>
    <x v="4"/>
    <n v="10"/>
    <n v="315"/>
    <n v="3150"/>
  </r>
  <r>
    <x v="266"/>
    <x v="2"/>
    <x v="2"/>
    <x v="1"/>
    <x v="5"/>
    <n v="15"/>
    <n v="315"/>
    <n v="4725"/>
  </r>
  <r>
    <x v="17"/>
    <x v="1"/>
    <x v="1"/>
    <x v="7"/>
    <x v="9"/>
    <n v="38"/>
    <n v="790"/>
    <n v="30020"/>
  </r>
  <r>
    <x v="26"/>
    <x v="2"/>
    <x v="2"/>
    <x v="5"/>
    <x v="3"/>
    <n v="27"/>
    <n v="315"/>
    <n v="8505"/>
  </r>
  <r>
    <x v="35"/>
    <x v="4"/>
    <x v="0"/>
    <x v="1"/>
    <x v="9"/>
    <n v="47"/>
    <n v="1080"/>
    <n v="50760"/>
  </r>
  <r>
    <x v="267"/>
    <x v="8"/>
    <x v="1"/>
    <x v="7"/>
    <x v="5"/>
    <n v="17"/>
    <n v="950"/>
    <n v="16150"/>
  </r>
  <r>
    <x v="268"/>
    <x v="2"/>
    <x v="2"/>
    <x v="8"/>
    <x v="0"/>
    <n v="36"/>
    <n v="315"/>
    <n v="11340"/>
  </r>
  <r>
    <x v="157"/>
    <x v="1"/>
    <x v="1"/>
    <x v="2"/>
    <x v="6"/>
    <n v="8"/>
    <n v="790"/>
    <n v="6320"/>
  </r>
  <r>
    <x v="147"/>
    <x v="2"/>
    <x v="2"/>
    <x v="7"/>
    <x v="8"/>
    <n v="37"/>
    <n v="315"/>
    <n v="11655"/>
  </r>
  <r>
    <x v="99"/>
    <x v="6"/>
    <x v="2"/>
    <x v="5"/>
    <x v="5"/>
    <n v="50"/>
    <n v="350"/>
    <n v="17500"/>
  </r>
  <r>
    <x v="51"/>
    <x v="0"/>
    <x v="0"/>
    <x v="4"/>
    <x v="0"/>
    <n v="1"/>
    <n v="2001"/>
    <n v="2001"/>
  </r>
  <r>
    <x v="136"/>
    <x v="6"/>
    <x v="2"/>
    <x v="5"/>
    <x v="7"/>
    <n v="40"/>
    <n v="350"/>
    <n v="14000"/>
  </r>
  <r>
    <x v="132"/>
    <x v="7"/>
    <x v="1"/>
    <x v="5"/>
    <x v="3"/>
    <n v="14"/>
    <n v="1575"/>
    <n v="22050"/>
  </r>
  <r>
    <x v="254"/>
    <x v="1"/>
    <x v="1"/>
    <x v="9"/>
    <x v="7"/>
    <n v="9"/>
    <n v="790"/>
    <n v="7110"/>
  </r>
  <r>
    <x v="269"/>
    <x v="1"/>
    <x v="1"/>
    <x v="2"/>
    <x v="2"/>
    <n v="13"/>
    <n v="790"/>
    <n v="10270"/>
  </r>
  <r>
    <x v="270"/>
    <x v="5"/>
    <x v="0"/>
    <x v="5"/>
    <x v="7"/>
    <n v="37"/>
    <n v="1500"/>
    <n v="55500"/>
  </r>
  <r>
    <x v="7"/>
    <x v="7"/>
    <x v="1"/>
    <x v="5"/>
    <x v="3"/>
    <n v="19"/>
    <n v="1575"/>
    <n v="29925"/>
  </r>
  <r>
    <x v="103"/>
    <x v="8"/>
    <x v="1"/>
    <x v="1"/>
    <x v="6"/>
    <n v="47"/>
    <n v="950"/>
    <n v="44650"/>
  </r>
  <r>
    <x v="271"/>
    <x v="5"/>
    <x v="0"/>
    <x v="9"/>
    <x v="9"/>
    <n v="26"/>
    <n v="1500"/>
    <n v="39000"/>
  </r>
  <r>
    <x v="167"/>
    <x v="3"/>
    <x v="2"/>
    <x v="6"/>
    <x v="9"/>
    <n v="38"/>
    <n v="75"/>
    <n v="2850"/>
  </r>
  <r>
    <x v="193"/>
    <x v="0"/>
    <x v="0"/>
    <x v="7"/>
    <x v="4"/>
    <n v="7"/>
    <n v="2001"/>
    <n v="14007"/>
  </r>
  <r>
    <x v="9"/>
    <x v="1"/>
    <x v="1"/>
    <x v="8"/>
    <x v="6"/>
    <n v="25"/>
    <n v="790"/>
    <n v="19750"/>
  </r>
  <r>
    <x v="59"/>
    <x v="1"/>
    <x v="1"/>
    <x v="5"/>
    <x v="3"/>
    <n v="28"/>
    <n v="790"/>
    <n v="22120"/>
  </r>
  <r>
    <x v="272"/>
    <x v="1"/>
    <x v="1"/>
    <x v="4"/>
    <x v="1"/>
    <n v="6"/>
    <n v="790"/>
    <n v="4740"/>
  </r>
  <r>
    <x v="32"/>
    <x v="8"/>
    <x v="1"/>
    <x v="1"/>
    <x v="1"/>
    <n v="15"/>
    <n v="950"/>
    <n v="14250"/>
  </r>
  <r>
    <x v="273"/>
    <x v="5"/>
    <x v="0"/>
    <x v="1"/>
    <x v="1"/>
    <n v="21"/>
    <n v="1500"/>
    <n v="31500"/>
  </r>
  <r>
    <x v="134"/>
    <x v="7"/>
    <x v="1"/>
    <x v="7"/>
    <x v="2"/>
    <n v="11"/>
    <n v="1575"/>
    <n v="17325"/>
  </r>
  <r>
    <x v="103"/>
    <x v="1"/>
    <x v="1"/>
    <x v="1"/>
    <x v="6"/>
    <n v="37"/>
    <n v="790"/>
    <n v="29230"/>
  </r>
  <r>
    <x v="274"/>
    <x v="3"/>
    <x v="2"/>
    <x v="6"/>
    <x v="8"/>
    <n v="13"/>
    <n v="75"/>
    <n v="975"/>
  </r>
  <r>
    <x v="51"/>
    <x v="1"/>
    <x v="1"/>
    <x v="6"/>
    <x v="6"/>
    <n v="47"/>
    <n v="790"/>
    <n v="37130"/>
  </r>
  <r>
    <x v="37"/>
    <x v="6"/>
    <x v="2"/>
    <x v="7"/>
    <x v="5"/>
    <n v="30"/>
    <n v="350"/>
    <n v="10500"/>
  </r>
  <r>
    <x v="272"/>
    <x v="7"/>
    <x v="1"/>
    <x v="3"/>
    <x v="5"/>
    <n v="45"/>
    <n v="1575"/>
    <n v="708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3AE7E4-39C9-423F-9BB4-67B40B1D73E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55:C57" firstHeaderRow="1" firstDataRow="1" firstDataCol="1"/>
  <pivotFields count="10">
    <pivotField axis="axisRow" numFmtId="164" showAll="0">
      <items count="276">
        <item x="28"/>
        <item x="188"/>
        <item x="105"/>
        <item x="114"/>
        <item x="92"/>
        <item x="111"/>
        <item x="10"/>
        <item x="25"/>
        <item x="215"/>
        <item x="216"/>
        <item x="238"/>
        <item x="243"/>
        <item x="52"/>
        <item x="146"/>
        <item x="103"/>
        <item x="7"/>
        <item x="79"/>
        <item x="138"/>
        <item x="251"/>
        <item x="133"/>
        <item x="237"/>
        <item x="209"/>
        <item x="186"/>
        <item x="137"/>
        <item x="115"/>
        <item x="228"/>
        <item x="171"/>
        <item x="261"/>
        <item x="4"/>
        <item x="64"/>
        <item x="162"/>
        <item x="118"/>
        <item x="256"/>
        <item x="213"/>
        <item x="47"/>
        <item x="248"/>
        <item x="217"/>
        <item x="55"/>
        <item x="71"/>
        <item x="170"/>
        <item x="125"/>
        <item x="106"/>
        <item x="180"/>
        <item x="226"/>
        <item x="33"/>
        <item x="199"/>
        <item x="140"/>
        <item x="59"/>
        <item x="202"/>
        <item x="22"/>
        <item x="46"/>
        <item x="51"/>
        <item x="81"/>
        <item x="166"/>
        <item x="270"/>
        <item x="241"/>
        <item x="178"/>
        <item x="135"/>
        <item x="167"/>
        <item x="34"/>
        <item x="89"/>
        <item x="116"/>
        <item x="74"/>
        <item x="12"/>
        <item x="14"/>
        <item x="122"/>
        <item x="155"/>
        <item x="240"/>
        <item x="73"/>
        <item x="131"/>
        <item x="220"/>
        <item x="257"/>
        <item x="264"/>
        <item x="113"/>
        <item x="60"/>
        <item x="191"/>
        <item x="56"/>
        <item x="9"/>
        <item x="262"/>
        <item x="158"/>
        <item x="15"/>
        <item x="30"/>
        <item x="197"/>
        <item x="198"/>
        <item x="232"/>
        <item x="159"/>
        <item x="149"/>
        <item x="77"/>
        <item x="20"/>
        <item x="29"/>
        <item x="225"/>
        <item x="44"/>
        <item x="163"/>
        <item x="160"/>
        <item x="206"/>
        <item x="117"/>
        <item x="172"/>
        <item x="152"/>
        <item x="272"/>
        <item x="176"/>
        <item x="54"/>
        <item x="254"/>
        <item x="185"/>
        <item x="268"/>
        <item x="23"/>
        <item x="82"/>
        <item x="148"/>
        <item x="136"/>
        <item x="175"/>
        <item x="84"/>
        <item x="157"/>
        <item x="66"/>
        <item x="246"/>
        <item x="274"/>
        <item x="17"/>
        <item x="144"/>
        <item x="68"/>
        <item x="24"/>
        <item x="221"/>
        <item x="242"/>
        <item x="35"/>
        <item x="142"/>
        <item x="120"/>
        <item x="165"/>
        <item x="91"/>
        <item x="211"/>
        <item x="32"/>
        <item x="233"/>
        <item x="127"/>
        <item x="223"/>
        <item x="190"/>
        <item x="192"/>
        <item x="222"/>
        <item x="218"/>
        <item x="36"/>
        <item x="182"/>
        <item x="224"/>
        <item x="143"/>
        <item x="104"/>
        <item x="260"/>
        <item x="53"/>
        <item x="128"/>
        <item x="88"/>
        <item x="94"/>
        <item x="62"/>
        <item x="3"/>
        <item x="21"/>
        <item x="134"/>
        <item x="8"/>
        <item x="42"/>
        <item x="253"/>
        <item x="107"/>
        <item x="39"/>
        <item x="69"/>
        <item x="184"/>
        <item x="48"/>
        <item x="164"/>
        <item x="129"/>
        <item x="147"/>
        <item x="40"/>
        <item x="208"/>
        <item x="200"/>
        <item x="161"/>
        <item x="210"/>
        <item x="110"/>
        <item x="16"/>
        <item x="41"/>
        <item x="255"/>
        <item x="11"/>
        <item x="119"/>
        <item x="45"/>
        <item x="205"/>
        <item x="123"/>
        <item x="252"/>
        <item x="258"/>
        <item x="19"/>
        <item x="173"/>
        <item x="63"/>
        <item x="126"/>
        <item x="97"/>
        <item x="236"/>
        <item x="168"/>
        <item x="201"/>
        <item x="265"/>
        <item x="100"/>
        <item x="95"/>
        <item x="239"/>
        <item x="31"/>
        <item x="183"/>
        <item x="124"/>
        <item x="65"/>
        <item x="230"/>
        <item x="102"/>
        <item x="235"/>
        <item x="269"/>
        <item x="49"/>
        <item x="67"/>
        <item x="70"/>
        <item x="0"/>
        <item x="1"/>
        <item x="195"/>
        <item x="76"/>
        <item x="247"/>
        <item x="38"/>
        <item x="231"/>
        <item x="229"/>
        <item x="87"/>
        <item x="57"/>
        <item x="139"/>
        <item x="27"/>
        <item x="214"/>
        <item x="244"/>
        <item x="156"/>
        <item x="121"/>
        <item x="187"/>
        <item x="43"/>
        <item x="99"/>
        <item x="267"/>
        <item x="75"/>
        <item x="179"/>
        <item x="177"/>
        <item x="78"/>
        <item x="6"/>
        <item x="266"/>
        <item x="174"/>
        <item x="26"/>
        <item x="145"/>
        <item x="132"/>
        <item x="2"/>
        <item x="219"/>
        <item x="259"/>
        <item x="50"/>
        <item x="37"/>
        <item x="249"/>
        <item x="250"/>
        <item x="80"/>
        <item x="212"/>
        <item x="112"/>
        <item x="18"/>
        <item x="203"/>
        <item x="150"/>
        <item x="93"/>
        <item x="263"/>
        <item x="151"/>
        <item x="98"/>
        <item x="130"/>
        <item x="204"/>
        <item x="85"/>
        <item x="196"/>
        <item x="227"/>
        <item x="83"/>
        <item x="181"/>
        <item x="5"/>
        <item x="234"/>
        <item x="96"/>
        <item x="13"/>
        <item x="90"/>
        <item x="61"/>
        <item x="273"/>
        <item x="271"/>
        <item x="109"/>
        <item x="108"/>
        <item x="193"/>
        <item x="101"/>
        <item x="72"/>
        <item x="141"/>
        <item x="207"/>
        <item x="194"/>
        <item x="154"/>
        <item x="58"/>
        <item x="153"/>
        <item x="189"/>
        <item x="245"/>
        <item x="169"/>
        <item x="86"/>
        <item t="default"/>
      </items>
    </pivotField>
    <pivotField showAll="0"/>
    <pivotField showAll="0">
      <items count="4">
        <item h="1" x="2"/>
        <item h="1" x="0"/>
        <item x="1"/>
        <item t="default"/>
      </items>
    </pivotField>
    <pivotField showAll="0"/>
    <pivotField showAll="0">
      <items count="11">
        <item h="1" x="3"/>
        <item h="1" x="7"/>
        <item h="1" x="9"/>
        <item h="1" x="6"/>
        <item h="1" x="4"/>
        <item h="1" x="8"/>
        <item h="1" x="1"/>
        <item h="1" x="5"/>
        <item h="1" x="0"/>
        <item x="2"/>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h="1" sd="0" x="2"/>
        <item h="1" sd="0" x="3"/>
        <item h="1" sd="0" x="4"/>
        <item sd="0" x="5"/>
        <item h="1" sd="0" x="6"/>
        <item h="1" sd="0" x="7"/>
        <item h="1" sd="0" x="8"/>
        <item h="1" sd="0" x="9"/>
        <item h="1" sd="0" x="10"/>
        <item h="1" sd="0" x="11"/>
        <item h="1" sd="0" x="12"/>
        <item h="1" sd="0" x="13"/>
        <item t="default"/>
      </items>
    </pivotField>
  </pivotFields>
  <rowFields count="3">
    <field x="9"/>
    <field x="8"/>
    <field x="0"/>
  </rowFields>
  <rowItems count="2">
    <i>
      <x v="5"/>
    </i>
    <i t="grand">
      <x/>
    </i>
  </rowItems>
  <colItems count="1">
    <i/>
  </colItems>
  <dataFields count="1">
    <dataField name="Sum of Amount" fld="7" baseField="0"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8D2ABB-3AAC-4ECB-87FA-72656AAF40C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5" firstHeaderRow="1" firstDataRow="1" firstDataCol="1"/>
  <pivotFields count="10">
    <pivotField numFmtId="164" showAll="0">
      <items count="276">
        <item x="28"/>
        <item x="188"/>
        <item x="105"/>
        <item x="114"/>
        <item x="92"/>
        <item x="111"/>
        <item x="10"/>
        <item x="25"/>
        <item x="215"/>
        <item x="216"/>
        <item x="238"/>
        <item x="243"/>
        <item x="52"/>
        <item x="146"/>
        <item x="103"/>
        <item x="7"/>
        <item x="79"/>
        <item x="138"/>
        <item x="251"/>
        <item x="133"/>
        <item x="237"/>
        <item x="209"/>
        <item x="186"/>
        <item x="137"/>
        <item x="115"/>
        <item x="228"/>
        <item x="171"/>
        <item x="261"/>
        <item x="4"/>
        <item x="64"/>
        <item x="162"/>
        <item x="118"/>
        <item x="256"/>
        <item x="213"/>
        <item x="47"/>
        <item x="248"/>
        <item x="217"/>
        <item x="55"/>
        <item x="71"/>
        <item x="170"/>
        <item x="125"/>
        <item x="106"/>
        <item x="180"/>
        <item x="226"/>
        <item x="33"/>
        <item x="199"/>
        <item x="140"/>
        <item x="59"/>
        <item x="202"/>
        <item x="22"/>
        <item x="46"/>
        <item x="51"/>
        <item x="81"/>
        <item x="166"/>
        <item x="270"/>
        <item x="241"/>
        <item x="178"/>
        <item x="135"/>
        <item x="167"/>
        <item x="34"/>
        <item x="89"/>
        <item x="116"/>
        <item x="74"/>
        <item x="12"/>
        <item x="14"/>
        <item x="122"/>
        <item x="155"/>
        <item x="240"/>
        <item x="73"/>
        <item x="131"/>
        <item x="220"/>
        <item x="257"/>
        <item x="264"/>
        <item x="113"/>
        <item x="60"/>
        <item x="191"/>
        <item x="56"/>
        <item x="9"/>
        <item x="262"/>
        <item x="158"/>
        <item x="15"/>
        <item x="30"/>
        <item x="197"/>
        <item x="198"/>
        <item x="232"/>
        <item x="159"/>
        <item x="149"/>
        <item x="77"/>
        <item x="20"/>
        <item x="29"/>
        <item x="225"/>
        <item x="44"/>
        <item x="163"/>
        <item x="160"/>
        <item x="206"/>
        <item x="117"/>
        <item x="172"/>
        <item x="152"/>
        <item x="272"/>
        <item x="176"/>
        <item x="54"/>
        <item x="254"/>
        <item x="185"/>
        <item x="268"/>
        <item x="23"/>
        <item x="82"/>
        <item x="148"/>
        <item x="136"/>
        <item x="175"/>
        <item x="84"/>
        <item x="157"/>
        <item x="66"/>
        <item x="246"/>
        <item x="274"/>
        <item x="17"/>
        <item x="144"/>
        <item x="68"/>
        <item x="24"/>
        <item x="221"/>
        <item x="242"/>
        <item x="35"/>
        <item x="142"/>
        <item x="120"/>
        <item x="165"/>
        <item x="91"/>
        <item x="211"/>
        <item x="32"/>
        <item x="233"/>
        <item x="127"/>
        <item x="223"/>
        <item x="190"/>
        <item x="192"/>
        <item x="222"/>
        <item x="218"/>
        <item x="36"/>
        <item x="182"/>
        <item x="224"/>
        <item x="143"/>
        <item x="104"/>
        <item x="260"/>
        <item x="53"/>
        <item x="128"/>
        <item x="88"/>
        <item x="94"/>
        <item x="62"/>
        <item x="3"/>
        <item x="21"/>
        <item x="134"/>
        <item x="8"/>
        <item x="42"/>
        <item x="253"/>
        <item x="107"/>
        <item x="39"/>
        <item x="69"/>
        <item x="184"/>
        <item x="48"/>
        <item x="164"/>
        <item x="129"/>
        <item x="147"/>
        <item x="40"/>
        <item x="208"/>
        <item x="200"/>
        <item x="161"/>
        <item x="210"/>
        <item x="110"/>
        <item x="16"/>
        <item x="41"/>
        <item x="255"/>
        <item x="11"/>
        <item x="119"/>
        <item x="45"/>
        <item x="205"/>
        <item x="123"/>
        <item x="252"/>
        <item x="258"/>
        <item x="19"/>
        <item x="173"/>
        <item x="63"/>
        <item x="126"/>
        <item x="97"/>
        <item x="236"/>
        <item x="168"/>
        <item x="201"/>
        <item x="265"/>
        <item x="100"/>
        <item x="95"/>
        <item x="239"/>
        <item x="31"/>
        <item x="183"/>
        <item x="124"/>
        <item x="65"/>
        <item x="230"/>
        <item x="102"/>
        <item x="235"/>
        <item x="269"/>
        <item x="49"/>
        <item x="67"/>
        <item x="70"/>
        <item x="0"/>
        <item x="1"/>
        <item x="195"/>
        <item x="76"/>
        <item x="247"/>
        <item x="38"/>
        <item x="231"/>
        <item x="229"/>
        <item x="87"/>
        <item x="57"/>
        <item x="139"/>
        <item x="27"/>
        <item x="214"/>
        <item x="244"/>
        <item x="156"/>
        <item x="121"/>
        <item x="187"/>
        <item x="43"/>
        <item x="99"/>
        <item x="267"/>
        <item x="75"/>
        <item x="179"/>
        <item x="177"/>
        <item x="78"/>
        <item x="6"/>
        <item x="266"/>
        <item x="174"/>
        <item x="26"/>
        <item x="145"/>
        <item x="132"/>
        <item x="2"/>
        <item x="219"/>
        <item x="259"/>
        <item x="50"/>
        <item x="37"/>
        <item x="249"/>
        <item x="250"/>
        <item x="80"/>
        <item x="212"/>
        <item x="112"/>
        <item x="18"/>
        <item x="203"/>
        <item x="150"/>
        <item x="93"/>
        <item x="263"/>
        <item x="151"/>
        <item x="98"/>
        <item x="130"/>
        <item x="204"/>
        <item x="85"/>
        <item x="196"/>
        <item x="227"/>
        <item x="83"/>
        <item x="181"/>
        <item x="5"/>
        <item x="234"/>
        <item x="96"/>
        <item x="13"/>
        <item x="90"/>
        <item x="61"/>
        <item x="273"/>
        <item x="271"/>
        <item x="109"/>
        <item x="108"/>
        <item x="193"/>
        <item x="101"/>
        <item x="72"/>
        <item x="141"/>
        <item x="207"/>
        <item x="194"/>
        <item x="154"/>
        <item x="58"/>
        <item x="153"/>
        <item x="189"/>
        <item x="245"/>
        <item x="169"/>
        <item x="86"/>
        <item t="default"/>
      </items>
    </pivotField>
    <pivotField axis="axisRow" showAll="0">
      <items count="10">
        <item x="2"/>
        <item x="0"/>
        <item x="4"/>
        <item x="7"/>
        <item x="5"/>
        <item x="1"/>
        <item x="3"/>
        <item x="8"/>
        <item x="6"/>
        <item t="default"/>
      </items>
    </pivotField>
    <pivotField showAll="0">
      <items count="4">
        <item h="1" x="2"/>
        <item h="1" x="0"/>
        <item x="1"/>
        <item t="default"/>
      </items>
    </pivotField>
    <pivotField showAll="0"/>
    <pivotField showAll="0">
      <items count="11">
        <item h="1" x="3"/>
        <item h="1" x="7"/>
        <item h="1" x="9"/>
        <item h="1" x="6"/>
        <item h="1" x="4"/>
        <item h="1" x="8"/>
        <item h="1" x="1"/>
        <item h="1" x="5"/>
        <item h="1" x="0"/>
        <item x="2"/>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x="5"/>
        <item h="1" x="6"/>
        <item h="1" x="7"/>
        <item h="1" x="8"/>
        <item h="1" x="9"/>
        <item h="1" x="10"/>
        <item h="1" x="11"/>
        <item h="1" x="12"/>
        <item h="1" x="13"/>
        <item t="default"/>
      </items>
    </pivotField>
  </pivotFields>
  <rowFields count="1">
    <field x="1"/>
  </rowFields>
  <rowItems count="2">
    <i>
      <x v="5"/>
    </i>
    <i t="grand">
      <x/>
    </i>
  </rowItems>
  <colItems count="1">
    <i/>
  </colItems>
  <dataFields count="1">
    <dataField name="Sum of Amount" fld="7" baseField="0" baseItem="0" numFmtId="3"/>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3F4C59-337F-4782-A9DD-B92AE702C0E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9:L11" firstHeaderRow="0" firstDataRow="1" firstDataCol="1"/>
  <pivotFields count="10">
    <pivotField numFmtId="164" showAll="0">
      <items count="276">
        <item x="28"/>
        <item x="188"/>
        <item x="105"/>
        <item x="114"/>
        <item x="92"/>
        <item x="111"/>
        <item x="10"/>
        <item x="25"/>
        <item x="215"/>
        <item x="216"/>
        <item x="238"/>
        <item x="243"/>
        <item x="52"/>
        <item x="146"/>
        <item x="103"/>
        <item x="7"/>
        <item x="79"/>
        <item x="138"/>
        <item x="251"/>
        <item x="133"/>
        <item x="237"/>
        <item x="209"/>
        <item x="186"/>
        <item x="137"/>
        <item x="115"/>
        <item x="228"/>
        <item x="171"/>
        <item x="261"/>
        <item x="4"/>
        <item x="64"/>
        <item x="162"/>
        <item x="118"/>
        <item x="256"/>
        <item x="213"/>
        <item x="47"/>
        <item x="248"/>
        <item x="217"/>
        <item x="55"/>
        <item x="71"/>
        <item x="170"/>
        <item x="125"/>
        <item x="106"/>
        <item x="180"/>
        <item x="226"/>
        <item x="33"/>
        <item x="199"/>
        <item x="140"/>
        <item x="59"/>
        <item x="202"/>
        <item x="22"/>
        <item x="46"/>
        <item x="51"/>
        <item x="81"/>
        <item x="166"/>
        <item x="270"/>
        <item x="241"/>
        <item x="178"/>
        <item x="135"/>
        <item x="167"/>
        <item x="34"/>
        <item x="89"/>
        <item x="116"/>
        <item x="74"/>
        <item x="12"/>
        <item x="14"/>
        <item x="122"/>
        <item x="155"/>
        <item x="240"/>
        <item x="73"/>
        <item x="131"/>
        <item x="220"/>
        <item x="257"/>
        <item x="264"/>
        <item x="113"/>
        <item x="60"/>
        <item x="191"/>
        <item x="56"/>
        <item x="9"/>
        <item x="262"/>
        <item x="158"/>
        <item x="15"/>
        <item x="30"/>
        <item x="197"/>
        <item x="198"/>
        <item x="232"/>
        <item x="159"/>
        <item x="149"/>
        <item x="77"/>
        <item x="20"/>
        <item x="29"/>
        <item x="225"/>
        <item x="44"/>
        <item x="163"/>
        <item x="160"/>
        <item x="206"/>
        <item x="117"/>
        <item x="172"/>
        <item x="152"/>
        <item x="272"/>
        <item x="176"/>
        <item x="54"/>
        <item x="254"/>
        <item x="185"/>
        <item x="268"/>
        <item x="23"/>
        <item x="82"/>
        <item x="148"/>
        <item x="136"/>
        <item x="175"/>
        <item x="84"/>
        <item x="157"/>
        <item x="66"/>
        <item x="246"/>
        <item x="274"/>
        <item x="17"/>
        <item x="144"/>
        <item x="68"/>
        <item x="24"/>
        <item x="221"/>
        <item x="242"/>
        <item x="35"/>
        <item x="142"/>
        <item x="120"/>
        <item x="165"/>
        <item x="91"/>
        <item x="211"/>
        <item x="32"/>
        <item x="233"/>
        <item x="127"/>
        <item x="223"/>
        <item x="190"/>
        <item x="192"/>
        <item x="222"/>
        <item x="218"/>
        <item x="36"/>
        <item x="182"/>
        <item x="224"/>
        <item x="143"/>
        <item x="104"/>
        <item x="260"/>
        <item x="53"/>
        <item x="128"/>
        <item x="88"/>
        <item x="94"/>
        <item x="62"/>
        <item x="3"/>
        <item x="21"/>
        <item x="134"/>
        <item x="8"/>
        <item x="42"/>
        <item x="253"/>
        <item x="107"/>
        <item x="39"/>
        <item x="69"/>
        <item x="184"/>
        <item x="48"/>
        <item x="164"/>
        <item x="129"/>
        <item x="147"/>
        <item x="40"/>
        <item x="208"/>
        <item x="200"/>
        <item x="161"/>
        <item x="210"/>
        <item x="110"/>
        <item x="16"/>
        <item x="41"/>
        <item x="255"/>
        <item x="11"/>
        <item x="119"/>
        <item x="45"/>
        <item x="205"/>
        <item x="123"/>
        <item x="252"/>
        <item x="258"/>
        <item x="19"/>
        <item x="173"/>
        <item x="63"/>
        <item x="126"/>
        <item x="97"/>
        <item x="236"/>
        <item x="168"/>
        <item x="201"/>
        <item x="265"/>
        <item x="100"/>
        <item x="95"/>
        <item x="239"/>
        <item x="31"/>
        <item x="183"/>
        <item x="124"/>
        <item x="65"/>
        <item x="230"/>
        <item x="102"/>
        <item x="235"/>
        <item x="269"/>
        <item x="49"/>
        <item x="67"/>
        <item x="70"/>
        <item x="0"/>
        <item x="1"/>
        <item x="195"/>
        <item x="76"/>
        <item x="247"/>
        <item x="38"/>
        <item x="231"/>
        <item x="229"/>
        <item x="87"/>
        <item x="57"/>
        <item x="139"/>
        <item x="27"/>
        <item x="214"/>
        <item x="244"/>
        <item x="156"/>
        <item x="121"/>
        <item x="187"/>
        <item x="43"/>
        <item x="99"/>
        <item x="267"/>
        <item x="75"/>
        <item x="179"/>
        <item x="177"/>
        <item x="78"/>
        <item x="6"/>
        <item x="266"/>
        <item x="174"/>
        <item x="26"/>
        <item x="145"/>
        <item x="132"/>
        <item x="2"/>
        <item x="219"/>
        <item x="259"/>
        <item x="50"/>
        <item x="37"/>
        <item x="249"/>
        <item x="250"/>
        <item x="80"/>
        <item x="212"/>
        <item x="112"/>
        <item x="18"/>
        <item x="203"/>
        <item x="150"/>
        <item x="93"/>
        <item x="263"/>
        <item x="151"/>
        <item x="98"/>
        <item x="130"/>
        <item x="204"/>
        <item x="85"/>
        <item x="196"/>
        <item x="227"/>
        <item x="83"/>
        <item x="181"/>
        <item x="5"/>
        <item x="234"/>
        <item x="96"/>
        <item x="13"/>
        <item x="90"/>
        <item x="61"/>
        <item x="273"/>
        <item x="271"/>
        <item x="109"/>
        <item x="108"/>
        <item x="193"/>
        <item x="101"/>
        <item x="72"/>
        <item x="141"/>
        <item x="207"/>
        <item x="194"/>
        <item x="154"/>
        <item x="58"/>
        <item x="153"/>
        <item x="189"/>
        <item x="245"/>
        <item x="169"/>
        <item x="86"/>
        <item t="default"/>
      </items>
    </pivotField>
    <pivotField showAll="0"/>
    <pivotField showAll="0">
      <items count="4">
        <item h="1" x="2"/>
        <item h="1" x="0"/>
        <item x="1"/>
        <item t="default"/>
      </items>
    </pivotField>
    <pivotField showAll="0"/>
    <pivotField axis="axisRow" showAll="0">
      <items count="11">
        <item h="1" x="3"/>
        <item h="1" x="7"/>
        <item h="1" x="9"/>
        <item h="1" x="6"/>
        <item h="1" x="4"/>
        <item h="1" x="8"/>
        <item h="1" x="1"/>
        <item h="1" x="5"/>
        <item h="1" x="0"/>
        <item x="2"/>
        <item t="default"/>
      </items>
    </pivotField>
    <pivotField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x="5"/>
        <item h="1" x="6"/>
        <item h="1" x="7"/>
        <item h="1" x="8"/>
        <item h="1" x="9"/>
        <item h="1" x="10"/>
        <item h="1" x="11"/>
        <item h="1" x="12"/>
        <item h="1" x="13"/>
        <item t="default"/>
      </items>
    </pivotField>
  </pivotFields>
  <rowFields count="1">
    <field x="4"/>
  </rowFields>
  <rowItems count="2">
    <i>
      <x v="9"/>
    </i>
    <i t="grand">
      <x/>
    </i>
  </rowItems>
  <colFields count="1">
    <field x="-2"/>
  </colFields>
  <colItems count="2">
    <i>
      <x/>
    </i>
    <i i="1">
      <x v="1"/>
    </i>
  </colItems>
  <dataFields count="2">
    <dataField name="Sum of Amount" fld="7" baseField="0" baseItem="0" numFmtId="3"/>
    <dataField name="Sum of Price" fld="6" baseField="0" baseItem="0" numFmtId="165"/>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F639A8-2886-411A-A6E0-65734BE48BA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3:I5" firstHeaderRow="1" firstDataRow="1" firstDataCol="1"/>
  <pivotFields count="10">
    <pivotField numFmtId="164" showAll="0">
      <items count="276">
        <item x="28"/>
        <item x="188"/>
        <item x="105"/>
        <item x="114"/>
        <item x="92"/>
        <item x="111"/>
        <item x="10"/>
        <item x="25"/>
        <item x="215"/>
        <item x="216"/>
        <item x="238"/>
        <item x="243"/>
        <item x="52"/>
        <item x="146"/>
        <item x="103"/>
        <item x="7"/>
        <item x="79"/>
        <item x="138"/>
        <item x="251"/>
        <item x="133"/>
        <item x="237"/>
        <item x="209"/>
        <item x="186"/>
        <item x="137"/>
        <item x="115"/>
        <item x="228"/>
        <item x="171"/>
        <item x="261"/>
        <item x="4"/>
        <item x="64"/>
        <item x="162"/>
        <item x="118"/>
        <item x="256"/>
        <item x="213"/>
        <item x="47"/>
        <item x="248"/>
        <item x="217"/>
        <item x="55"/>
        <item x="71"/>
        <item x="170"/>
        <item x="125"/>
        <item x="106"/>
        <item x="180"/>
        <item x="226"/>
        <item x="33"/>
        <item x="199"/>
        <item x="140"/>
        <item x="59"/>
        <item x="202"/>
        <item x="22"/>
        <item x="46"/>
        <item x="51"/>
        <item x="81"/>
        <item x="166"/>
        <item x="270"/>
        <item x="241"/>
        <item x="178"/>
        <item x="135"/>
        <item x="167"/>
        <item x="34"/>
        <item x="89"/>
        <item x="116"/>
        <item x="74"/>
        <item x="12"/>
        <item x="14"/>
        <item x="122"/>
        <item x="155"/>
        <item x="240"/>
        <item x="73"/>
        <item x="131"/>
        <item x="220"/>
        <item x="257"/>
        <item x="264"/>
        <item x="113"/>
        <item x="60"/>
        <item x="191"/>
        <item x="56"/>
        <item x="9"/>
        <item x="262"/>
        <item x="158"/>
        <item x="15"/>
        <item x="30"/>
        <item x="197"/>
        <item x="198"/>
        <item x="232"/>
        <item x="159"/>
        <item x="149"/>
        <item x="77"/>
        <item x="20"/>
        <item x="29"/>
        <item x="225"/>
        <item x="44"/>
        <item x="163"/>
        <item x="160"/>
        <item x="206"/>
        <item x="117"/>
        <item x="172"/>
        <item x="152"/>
        <item x="272"/>
        <item x="176"/>
        <item x="54"/>
        <item x="254"/>
        <item x="185"/>
        <item x="268"/>
        <item x="23"/>
        <item x="82"/>
        <item x="148"/>
        <item x="136"/>
        <item x="175"/>
        <item x="84"/>
        <item x="157"/>
        <item x="66"/>
        <item x="246"/>
        <item x="274"/>
        <item x="17"/>
        <item x="144"/>
        <item x="68"/>
        <item x="24"/>
        <item x="221"/>
        <item x="242"/>
        <item x="35"/>
        <item x="142"/>
        <item x="120"/>
        <item x="165"/>
        <item x="91"/>
        <item x="211"/>
        <item x="32"/>
        <item x="233"/>
        <item x="127"/>
        <item x="223"/>
        <item x="190"/>
        <item x="192"/>
        <item x="222"/>
        <item x="218"/>
        <item x="36"/>
        <item x="182"/>
        <item x="224"/>
        <item x="143"/>
        <item x="104"/>
        <item x="260"/>
        <item x="53"/>
        <item x="128"/>
        <item x="88"/>
        <item x="94"/>
        <item x="62"/>
        <item x="3"/>
        <item x="21"/>
        <item x="134"/>
        <item x="8"/>
        <item x="42"/>
        <item x="253"/>
        <item x="107"/>
        <item x="39"/>
        <item x="69"/>
        <item x="184"/>
        <item x="48"/>
        <item x="164"/>
        <item x="129"/>
        <item x="147"/>
        <item x="40"/>
        <item x="208"/>
        <item x="200"/>
        <item x="161"/>
        <item x="210"/>
        <item x="110"/>
        <item x="16"/>
        <item x="41"/>
        <item x="255"/>
        <item x="11"/>
        <item x="119"/>
        <item x="45"/>
        <item x="205"/>
        <item x="123"/>
        <item x="252"/>
        <item x="258"/>
        <item x="19"/>
        <item x="173"/>
        <item x="63"/>
        <item x="126"/>
        <item x="97"/>
        <item x="236"/>
        <item x="168"/>
        <item x="201"/>
        <item x="265"/>
        <item x="100"/>
        <item x="95"/>
        <item x="239"/>
        <item x="31"/>
        <item x="183"/>
        <item x="124"/>
        <item x="65"/>
        <item x="230"/>
        <item x="102"/>
        <item x="235"/>
        <item x="269"/>
        <item x="49"/>
        <item x="67"/>
        <item x="70"/>
        <item x="0"/>
        <item x="1"/>
        <item x="195"/>
        <item x="76"/>
        <item x="247"/>
        <item x="38"/>
        <item x="231"/>
        <item x="229"/>
        <item x="87"/>
        <item x="57"/>
        <item x="139"/>
        <item x="27"/>
        <item x="214"/>
        <item x="244"/>
        <item x="156"/>
        <item x="121"/>
        <item x="187"/>
        <item x="43"/>
        <item x="99"/>
        <item x="267"/>
        <item x="75"/>
        <item x="179"/>
        <item x="177"/>
        <item x="78"/>
        <item x="6"/>
        <item x="266"/>
        <item x="174"/>
        <item x="26"/>
        <item x="145"/>
        <item x="132"/>
        <item x="2"/>
        <item x="219"/>
        <item x="259"/>
        <item x="50"/>
        <item x="37"/>
        <item x="249"/>
        <item x="250"/>
        <item x="80"/>
        <item x="212"/>
        <item x="112"/>
        <item x="18"/>
        <item x="203"/>
        <item x="150"/>
        <item x="93"/>
        <item x="263"/>
        <item x="151"/>
        <item x="98"/>
        <item x="130"/>
        <item x="204"/>
        <item x="85"/>
        <item x="196"/>
        <item x="227"/>
        <item x="83"/>
        <item x="181"/>
        <item x="5"/>
        <item x="234"/>
        <item x="96"/>
        <item x="13"/>
        <item x="90"/>
        <item x="61"/>
        <item x="273"/>
        <item x="271"/>
        <item x="109"/>
        <item x="108"/>
        <item x="193"/>
        <item x="101"/>
        <item x="72"/>
        <item x="141"/>
        <item x="207"/>
        <item x="194"/>
        <item x="154"/>
        <item x="58"/>
        <item x="153"/>
        <item x="189"/>
        <item x="245"/>
        <item x="169"/>
        <item x="86"/>
        <item t="default"/>
      </items>
    </pivotField>
    <pivotField showAll="0"/>
    <pivotField axis="axisRow" showAll="0">
      <items count="4">
        <item h="1" x="2"/>
        <item h="1" x="0"/>
        <item x="1"/>
        <item t="default"/>
      </items>
    </pivotField>
    <pivotField showAll="0"/>
    <pivotField showAll="0">
      <items count="11">
        <item h="1" x="3"/>
        <item h="1" x="7"/>
        <item h="1" x="9"/>
        <item h="1" x="6"/>
        <item h="1" x="4"/>
        <item h="1" x="8"/>
        <item h="1" x="1"/>
        <item h="1" x="5"/>
        <item h="1" x="0"/>
        <item x="2"/>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x="5"/>
        <item h="1" x="6"/>
        <item h="1" x="7"/>
        <item h="1" x="8"/>
        <item h="1" x="9"/>
        <item h="1" x="10"/>
        <item h="1" x="11"/>
        <item h="1" x="12"/>
        <item h="1" x="13"/>
        <item t="default"/>
      </items>
    </pivotField>
  </pivotFields>
  <rowFields count="1">
    <field x="2"/>
  </rowFields>
  <rowItems count="2">
    <i>
      <x v="2"/>
    </i>
    <i t="grand">
      <x/>
    </i>
  </rowItems>
  <colItems count="1">
    <i/>
  </colItems>
  <dataFields count="1">
    <dataField name="Sum of Amount" fld="7" baseField="0" baseItem="0" numFmtId="3"/>
  </dataFields>
  <chartFormats count="8">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2"/>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BA7133-A2CC-4CC7-84D5-FE4D67173E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5" firstHeaderRow="1" firstDataRow="1" firstDataCol="1"/>
  <pivotFields count="10">
    <pivotField numFmtId="164" showAll="0">
      <items count="276">
        <item x="28"/>
        <item x="188"/>
        <item x="105"/>
        <item x="114"/>
        <item x="92"/>
        <item x="111"/>
        <item x="10"/>
        <item x="25"/>
        <item x="215"/>
        <item x="216"/>
        <item x="238"/>
        <item x="243"/>
        <item x="52"/>
        <item x="146"/>
        <item x="103"/>
        <item x="7"/>
        <item x="79"/>
        <item x="138"/>
        <item x="251"/>
        <item x="133"/>
        <item x="237"/>
        <item x="209"/>
        <item x="186"/>
        <item x="137"/>
        <item x="115"/>
        <item x="228"/>
        <item x="171"/>
        <item x="261"/>
        <item x="4"/>
        <item x="64"/>
        <item x="162"/>
        <item x="118"/>
        <item x="256"/>
        <item x="213"/>
        <item x="47"/>
        <item x="248"/>
        <item x="217"/>
        <item x="55"/>
        <item x="71"/>
        <item x="170"/>
        <item x="125"/>
        <item x="106"/>
        <item x="180"/>
        <item x="226"/>
        <item x="33"/>
        <item x="199"/>
        <item x="140"/>
        <item x="59"/>
        <item x="202"/>
        <item x="22"/>
        <item x="46"/>
        <item x="51"/>
        <item x="81"/>
        <item x="166"/>
        <item x="270"/>
        <item x="241"/>
        <item x="178"/>
        <item x="135"/>
        <item x="167"/>
        <item x="34"/>
        <item x="89"/>
        <item x="116"/>
        <item x="74"/>
        <item x="12"/>
        <item x="14"/>
        <item x="122"/>
        <item x="155"/>
        <item x="240"/>
        <item x="73"/>
        <item x="131"/>
        <item x="220"/>
        <item x="257"/>
        <item x="264"/>
        <item x="113"/>
        <item x="60"/>
        <item x="191"/>
        <item x="56"/>
        <item x="9"/>
        <item x="262"/>
        <item x="158"/>
        <item x="15"/>
        <item x="30"/>
        <item x="197"/>
        <item x="198"/>
        <item x="232"/>
        <item x="159"/>
        <item x="149"/>
        <item x="77"/>
        <item x="20"/>
        <item x="29"/>
        <item x="225"/>
        <item x="44"/>
        <item x="163"/>
        <item x="160"/>
        <item x="206"/>
        <item x="117"/>
        <item x="172"/>
        <item x="152"/>
        <item x="272"/>
        <item x="176"/>
        <item x="54"/>
        <item x="254"/>
        <item x="185"/>
        <item x="268"/>
        <item x="23"/>
        <item x="82"/>
        <item x="148"/>
        <item x="136"/>
        <item x="175"/>
        <item x="84"/>
        <item x="157"/>
        <item x="66"/>
        <item x="246"/>
        <item x="274"/>
        <item x="17"/>
        <item x="144"/>
        <item x="68"/>
        <item x="24"/>
        <item x="221"/>
        <item x="242"/>
        <item x="35"/>
        <item x="142"/>
        <item x="120"/>
        <item x="165"/>
        <item x="91"/>
        <item x="211"/>
        <item x="32"/>
        <item x="233"/>
        <item x="127"/>
        <item x="223"/>
        <item x="190"/>
        <item x="192"/>
        <item x="222"/>
        <item x="218"/>
        <item x="36"/>
        <item x="182"/>
        <item x="224"/>
        <item x="143"/>
        <item x="104"/>
        <item x="260"/>
        <item x="53"/>
        <item x="128"/>
        <item x="88"/>
        <item x="94"/>
        <item x="62"/>
        <item x="3"/>
        <item x="21"/>
        <item x="134"/>
        <item x="8"/>
        <item x="42"/>
        <item x="253"/>
        <item x="107"/>
        <item x="39"/>
        <item x="69"/>
        <item x="184"/>
        <item x="48"/>
        <item x="164"/>
        <item x="129"/>
        <item x="147"/>
        <item x="40"/>
        <item x="208"/>
        <item x="200"/>
        <item x="161"/>
        <item x="210"/>
        <item x="110"/>
        <item x="16"/>
        <item x="41"/>
        <item x="255"/>
        <item x="11"/>
        <item x="119"/>
        <item x="45"/>
        <item x="205"/>
        <item x="123"/>
        <item x="252"/>
        <item x="258"/>
        <item x="19"/>
        <item x="173"/>
        <item x="63"/>
        <item x="126"/>
        <item x="97"/>
        <item x="236"/>
        <item x="168"/>
        <item x="201"/>
        <item x="265"/>
        <item x="100"/>
        <item x="95"/>
        <item x="239"/>
        <item x="31"/>
        <item x="183"/>
        <item x="124"/>
        <item x="65"/>
        <item x="230"/>
        <item x="102"/>
        <item x="235"/>
        <item x="269"/>
        <item x="49"/>
        <item x="67"/>
        <item x="70"/>
        <item x="0"/>
        <item x="1"/>
        <item x="195"/>
        <item x="76"/>
        <item x="247"/>
        <item x="38"/>
        <item x="231"/>
        <item x="229"/>
        <item x="87"/>
        <item x="57"/>
        <item x="139"/>
        <item x="27"/>
        <item x="214"/>
        <item x="244"/>
        <item x="156"/>
        <item x="121"/>
        <item x="187"/>
        <item x="43"/>
        <item x="99"/>
        <item x="267"/>
        <item x="75"/>
        <item x="179"/>
        <item x="177"/>
        <item x="78"/>
        <item x="6"/>
        <item x="266"/>
        <item x="174"/>
        <item x="26"/>
        <item x="145"/>
        <item x="132"/>
        <item x="2"/>
        <item x="219"/>
        <item x="259"/>
        <item x="50"/>
        <item x="37"/>
        <item x="249"/>
        <item x="250"/>
        <item x="80"/>
        <item x="212"/>
        <item x="112"/>
        <item x="18"/>
        <item x="203"/>
        <item x="150"/>
        <item x="93"/>
        <item x="263"/>
        <item x="151"/>
        <item x="98"/>
        <item x="130"/>
        <item x="204"/>
        <item x="85"/>
        <item x="196"/>
        <item x="227"/>
        <item x="83"/>
        <item x="181"/>
        <item x="5"/>
        <item x="234"/>
        <item x="96"/>
        <item x="13"/>
        <item x="90"/>
        <item x="61"/>
        <item x="273"/>
        <item x="271"/>
        <item x="109"/>
        <item x="108"/>
        <item x="193"/>
        <item x="101"/>
        <item x="72"/>
        <item x="141"/>
        <item x="207"/>
        <item x="194"/>
        <item x="154"/>
        <item x="58"/>
        <item x="153"/>
        <item x="189"/>
        <item x="245"/>
        <item x="169"/>
        <item x="86"/>
        <item t="default"/>
      </items>
    </pivotField>
    <pivotField showAll="0"/>
    <pivotField showAll="0">
      <items count="4">
        <item h="1" x="2"/>
        <item h="1" x="0"/>
        <item x="1"/>
        <item t="default"/>
      </items>
    </pivotField>
    <pivotField showAll="0"/>
    <pivotField axis="axisRow" showAll="0">
      <items count="11">
        <item h="1" x="3"/>
        <item h="1" x="7"/>
        <item h="1" x="9"/>
        <item h="1" x="6"/>
        <item h="1" x="4"/>
        <item h="1" x="8"/>
        <item h="1" x="1"/>
        <item h="1" x="5"/>
        <item h="1" x="0"/>
        <item x="2"/>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x="5"/>
        <item h="1" x="6"/>
        <item h="1" x="7"/>
        <item h="1" x="8"/>
        <item h="1" x="9"/>
        <item h="1" x="10"/>
        <item h="1" x="11"/>
        <item h="1" x="12"/>
        <item h="1" x="13"/>
        <item t="default"/>
      </items>
    </pivotField>
  </pivotFields>
  <rowFields count="1">
    <field x="4"/>
  </rowFields>
  <rowItems count="2">
    <i>
      <x v="9"/>
    </i>
    <i t="grand">
      <x/>
    </i>
  </rowItems>
  <colItems count="1">
    <i/>
  </colItems>
  <dataFields count="1">
    <dataField name="Sum of Amount" fld="7" baseField="0" baseItem="0" numFmtId="3"/>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91117C-7768-4585-B436-0B233A3FF7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9:I11" firstHeaderRow="1" firstDataRow="1" firstDataCol="1"/>
  <pivotFields count="10">
    <pivotField numFmtId="164" showAll="0">
      <items count="276">
        <item x="28"/>
        <item x="188"/>
        <item x="105"/>
        <item x="114"/>
        <item x="92"/>
        <item x="111"/>
        <item x="10"/>
        <item x="25"/>
        <item x="215"/>
        <item x="216"/>
        <item x="238"/>
        <item x="243"/>
        <item x="52"/>
        <item x="146"/>
        <item x="103"/>
        <item x="7"/>
        <item x="79"/>
        <item x="138"/>
        <item x="251"/>
        <item x="133"/>
        <item x="237"/>
        <item x="209"/>
        <item x="186"/>
        <item x="137"/>
        <item x="115"/>
        <item x="228"/>
        <item x="171"/>
        <item x="261"/>
        <item x="4"/>
        <item x="64"/>
        <item x="162"/>
        <item x="118"/>
        <item x="256"/>
        <item x="213"/>
        <item x="47"/>
        <item x="248"/>
        <item x="217"/>
        <item x="55"/>
        <item x="71"/>
        <item x="170"/>
        <item x="125"/>
        <item x="106"/>
        <item x="180"/>
        <item x="226"/>
        <item x="33"/>
        <item x="199"/>
        <item x="140"/>
        <item x="59"/>
        <item x="202"/>
        <item x="22"/>
        <item x="46"/>
        <item x="51"/>
        <item x="81"/>
        <item x="166"/>
        <item x="270"/>
        <item x="241"/>
        <item x="178"/>
        <item x="135"/>
        <item x="167"/>
        <item x="34"/>
        <item x="89"/>
        <item x="116"/>
        <item x="74"/>
        <item x="12"/>
        <item x="14"/>
        <item x="122"/>
        <item x="155"/>
        <item x="240"/>
        <item x="73"/>
        <item x="131"/>
        <item x="220"/>
        <item x="257"/>
        <item x="264"/>
        <item x="113"/>
        <item x="60"/>
        <item x="191"/>
        <item x="56"/>
        <item x="9"/>
        <item x="262"/>
        <item x="158"/>
        <item x="15"/>
        <item x="30"/>
        <item x="197"/>
        <item x="198"/>
        <item x="232"/>
        <item x="159"/>
        <item x="149"/>
        <item x="77"/>
        <item x="20"/>
        <item x="29"/>
        <item x="225"/>
        <item x="44"/>
        <item x="163"/>
        <item x="160"/>
        <item x="206"/>
        <item x="117"/>
        <item x="172"/>
        <item x="152"/>
        <item x="272"/>
        <item x="176"/>
        <item x="54"/>
        <item x="254"/>
        <item x="185"/>
        <item x="268"/>
        <item x="23"/>
        <item x="82"/>
        <item x="148"/>
        <item x="136"/>
        <item x="175"/>
        <item x="84"/>
        <item x="157"/>
        <item x="66"/>
        <item x="246"/>
        <item x="274"/>
        <item x="17"/>
        <item x="144"/>
        <item x="68"/>
        <item x="24"/>
        <item x="221"/>
        <item x="242"/>
        <item x="35"/>
        <item x="142"/>
        <item x="120"/>
        <item x="165"/>
        <item x="91"/>
        <item x="211"/>
        <item x="32"/>
        <item x="233"/>
        <item x="127"/>
        <item x="223"/>
        <item x="190"/>
        <item x="192"/>
        <item x="222"/>
        <item x="218"/>
        <item x="36"/>
        <item x="182"/>
        <item x="224"/>
        <item x="143"/>
        <item x="104"/>
        <item x="260"/>
        <item x="53"/>
        <item x="128"/>
        <item x="88"/>
        <item x="94"/>
        <item x="62"/>
        <item x="3"/>
        <item x="21"/>
        <item x="134"/>
        <item x="8"/>
        <item x="42"/>
        <item x="253"/>
        <item x="107"/>
        <item x="39"/>
        <item x="69"/>
        <item x="184"/>
        <item x="48"/>
        <item x="164"/>
        <item x="129"/>
        <item x="147"/>
        <item x="40"/>
        <item x="208"/>
        <item x="200"/>
        <item x="161"/>
        <item x="210"/>
        <item x="110"/>
        <item x="16"/>
        <item x="41"/>
        <item x="255"/>
        <item x="11"/>
        <item x="119"/>
        <item x="45"/>
        <item x="205"/>
        <item x="123"/>
        <item x="252"/>
        <item x="258"/>
        <item x="19"/>
        <item x="173"/>
        <item x="63"/>
        <item x="126"/>
        <item x="97"/>
        <item x="236"/>
        <item x="168"/>
        <item x="201"/>
        <item x="265"/>
        <item x="100"/>
        <item x="95"/>
        <item x="239"/>
        <item x="31"/>
        <item x="183"/>
        <item x="124"/>
        <item x="65"/>
        <item x="230"/>
        <item x="102"/>
        <item x="235"/>
        <item x="269"/>
        <item x="49"/>
        <item x="67"/>
        <item x="70"/>
        <item x="0"/>
        <item x="1"/>
        <item x="195"/>
        <item x="76"/>
        <item x="247"/>
        <item x="38"/>
        <item x="231"/>
        <item x="229"/>
        <item x="87"/>
        <item x="57"/>
        <item x="139"/>
        <item x="27"/>
        <item x="214"/>
        <item x="244"/>
        <item x="156"/>
        <item x="121"/>
        <item x="187"/>
        <item x="43"/>
        <item x="99"/>
        <item x="267"/>
        <item x="75"/>
        <item x="179"/>
        <item x="177"/>
        <item x="78"/>
        <item x="6"/>
        <item x="266"/>
        <item x="174"/>
        <item x="26"/>
        <item x="145"/>
        <item x="132"/>
        <item x="2"/>
        <item x="219"/>
        <item x="259"/>
        <item x="50"/>
        <item x="37"/>
        <item x="249"/>
        <item x="250"/>
        <item x="80"/>
        <item x="212"/>
        <item x="112"/>
        <item x="18"/>
        <item x="203"/>
        <item x="150"/>
        <item x="93"/>
        <item x="263"/>
        <item x="151"/>
        <item x="98"/>
        <item x="130"/>
        <item x="204"/>
        <item x="85"/>
        <item x="196"/>
        <item x="227"/>
        <item x="83"/>
        <item x="181"/>
        <item x="5"/>
        <item x="234"/>
        <item x="96"/>
        <item x="13"/>
        <item x="90"/>
        <item x="61"/>
        <item x="273"/>
        <item x="271"/>
        <item x="109"/>
        <item x="108"/>
        <item x="193"/>
        <item x="101"/>
        <item x="72"/>
        <item x="141"/>
        <item x="207"/>
        <item x="194"/>
        <item x="154"/>
        <item x="58"/>
        <item x="153"/>
        <item x="189"/>
        <item x="245"/>
        <item x="169"/>
        <item x="86"/>
        <item t="default"/>
      </items>
    </pivotField>
    <pivotField showAll="0"/>
    <pivotField showAll="0">
      <items count="4">
        <item h="1" x="2"/>
        <item h="1" x="0"/>
        <item x="1"/>
        <item t="default"/>
      </items>
    </pivotField>
    <pivotField axis="axisRow" showAll="0">
      <items count="11">
        <item x="5"/>
        <item x="8"/>
        <item x="2"/>
        <item x="1"/>
        <item x="9"/>
        <item x="4"/>
        <item x="3"/>
        <item x="6"/>
        <item x="0"/>
        <item x="7"/>
        <item t="default"/>
      </items>
    </pivotField>
    <pivotField showAll="0">
      <items count="11">
        <item h="1" x="3"/>
        <item h="1" x="7"/>
        <item h="1" x="9"/>
        <item h="1" x="6"/>
        <item h="1" x="4"/>
        <item h="1" x="8"/>
        <item h="1" x="1"/>
        <item h="1" x="5"/>
        <item h="1" x="0"/>
        <item x="2"/>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x="5"/>
        <item h="1" x="6"/>
        <item h="1" x="7"/>
        <item h="1" x="8"/>
        <item h="1" x="9"/>
        <item h="1" x="10"/>
        <item h="1" x="11"/>
        <item h="1" x="12"/>
        <item h="1" x="13"/>
        <item t="default"/>
      </items>
    </pivotField>
  </pivotFields>
  <rowFields count="1">
    <field x="3"/>
  </rowFields>
  <rowItems count="2">
    <i>
      <x/>
    </i>
    <i t="grand">
      <x/>
    </i>
  </rowItems>
  <colItems count="1">
    <i/>
  </colItems>
  <dataFields count="1">
    <dataField name="Sum of 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75CEFE-D68B-4406-A96B-C39C35EEAA8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B77:D79" firstHeaderRow="0" firstDataRow="1" firstDataCol="1"/>
  <pivotFields count="10">
    <pivotField numFmtId="164" showAll="0">
      <items count="276">
        <item x="28"/>
        <item x="188"/>
        <item x="105"/>
        <item x="114"/>
        <item x="92"/>
        <item x="111"/>
        <item x="10"/>
        <item x="25"/>
        <item x="215"/>
        <item x="216"/>
        <item x="238"/>
        <item x="243"/>
        <item x="52"/>
        <item x="146"/>
        <item x="103"/>
        <item x="7"/>
        <item x="79"/>
        <item x="138"/>
        <item x="251"/>
        <item x="133"/>
        <item x="237"/>
        <item x="209"/>
        <item x="186"/>
        <item x="137"/>
        <item x="115"/>
        <item x="228"/>
        <item x="171"/>
        <item x="261"/>
        <item x="4"/>
        <item x="64"/>
        <item x="162"/>
        <item x="118"/>
        <item x="256"/>
        <item x="213"/>
        <item x="47"/>
        <item x="248"/>
        <item x="217"/>
        <item x="55"/>
        <item x="71"/>
        <item x="170"/>
        <item x="125"/>
        <item x="106"/>
        <item x="180"/>
        <item x="226"/>
        <item x="33"/>
        <item x="199"/>
        <item x="140"/>
        <item x="59"/>
        <item x="202"/>
        <item x="22"/>
        <item x="46"/>
        <item x="51"/>
        <item x="81"/>
        <item x="166"/>
        <item x="270"/>
        <item x="241"/>
        <item x="178"/>
        <item x="135"/>
        <item x="167"/>
        <item x="34"/>
        <item x="89"/>
        <item x="116"/>
        <item x="74"/>
        <item x="12"/>
        <item x="14"/>
        <item x="122"/>
        <item x="155"/>
        <item x="240"/>
        <item x="73"/>
        <item x="131"/>
        <item x="220"/>
        <item x="257"/>
        <item x="264"/>
        <item x="113"/>
        <item x="60"/>
        <item x="191"/>
        <item x="56"/>
        <item x="9"/>
        <item x="262"/>
        <item x="158"/>
        <item x="15"/>
        <item x="30"/>
        <item x="197"/>
        <item x="198"/>
        <item x="232"/>
        <item x="159"/>
        <item x="149"/>
        <item x="77"/>
        <item x="20"/>
        <item x="29"/>
        <item x="225"/>
        <item x="44"/>
        <item x="163"/>
        <item x="160"/>
        <item x="206"/>
        <item x="117"/>
        <item x="172"/>
        <item x="152"/>
        <item x="272"/>
        <item x="176"/>
        <item x="54"/>
        <item x="254"/>
        <item x="185"/>
        <item x="268"/>
        <item x="23"/>
        <item x="82"/>
        <item x="148"/>
        <item x="136"/>
        <item x="175"/>
        <item x="84"/>
        <item x="157"/>
        <item x="66"/>
        <item x="246"/>
        <item x="274"/>
        <item x="17"/>
        <item x="144"/>
        <item x="68"/>
        <item x="24"/>
        <item x="221"/>
        <item x="242"/>
        <item x="35"/>
        <item x="142"/>
        <item x="120"/>
        <item x="165"/>
        <item x="91"/>
        <item x="211"/>
        <item x="32"/>
        <item x="233"/>
        <item x="127"/>
        <item x="223"/>
        <item x="190"/>
        <item x="192"/>
        <item x="222"/>
        <item x="218"/>
        <item x="36"/>
        <item x="182"/>
        <item x="224"/>
        <item x="143"/>
        <item x="104"/>
        <item x="260"/>
        <item x="53"/>
        <item x="128"/>
        <item x="88"/>
        <item x="94"/>
        <item x="62"/>
        <item x="3"/>
        <item x="21"/>
        <item x="134"/>
        <item x="8"/>
        <item x="42"/>
        <item x="253"/>
        <item x="107"/>
        <item x="39"/>
        <item x="69"/>
        <item x="184"/>
        <item x="48"/>
        <item x="164"/>
        <item x="129"/>
        <item x="147"/>
        <item x="40"/>
        <item x="208"/>
        <item x="200"/>
        <item x="161"/>
        <item x="210"/>
        <item x="110"/>
        <item x="16"/>
        <item x="41"/>
        <item x="255"/>
        <item x="11"/>
        <item x="119"/>
        <item x="45"/>
        <item x="205"/>
        <item x="123"/>
        <item x="252"/>
        <item x="258"/>
        <item x="19"/>
        <item x="173"/>
        <item x="63"/>
        <item x="126"/>
        <item x="97"/>
        <item x="236"/>
        <item x="168"/>
        <item x="201"/>
        <item x="265"/>
        <item x="100"/>
        <item x="95"/>
        <item x="239"/>
        <item x="31"/>
        <item x="183"/>
        <item x="124"/>
        <item x="65"/>
        <item x="230"/>
        <item x="102"/>
        <item x="235"/>
        <item x="269"/>
        <item x="49"/>
        <item x="67"/>
        <item x="70"/>
        <item x="0"/>
        <item x="1"/>
        <item x="195"/>
        <item x="76"/>
        <item x="247"/>
        <item x="38"/>
        <item x="231"/>
        <item x="229"/>
        <item x="87"/>
        <item x="57"/>
        <item x="139"/>
        <item x="27"/>
        <item x="214"/>
        <item x="244"/>
        <item x="156"/>
        <item x="121"/>
        <item x="187"/>
        <item x="43"/>
        <item x="99"/>
        <item x="267"/>
        <item x="75"/>
        <item x="179"/>
        <item x="177"/>
        <item x="78"/>
        <item x="6"/>
        <item x="266"/>
        <item x="174"/>
        <item x="26"/>
        <item x="145"/>
        <item x="132"/>
        <item x="2"/>
        <item x="219"/>
        <item x="259"/>
        <item x="50"/>
        <item x="37"/>
        <item x="249"/>
        <item x="250"/>
        <item x="80"/>
        <item x="212"/>
        <item x="112"/>
        <item x="18"/>
        <item x="203"/>
        <item x="150"/>
        <item x="93"/>
        <item x="263"/>
        <item x="151"/>
        <item x="98"/>
        <item x="130"/>
        <item x="204"/>
        <item x="85"/>
        <item x="196"/>
        <item x="227"/>
        <item x="83"/>
        <item x="181"/>
        <item x="5"/>
        <item x="234"/>
        <item x="96"/>
        <item x="13"/>
        <item x="90"/>
        <item x="61"/>
        <item x="273"/>
        <item x="271"/>
        <item x="109"/>
        <item x="108"/>
        <item x="193"/>
        <item x="101"/>
        <item x="72"/>
        <item x="141"/>
        <item x="207"/>
        <item x="194"/>
        <item x="154"/>
        <item x="58"/>
        <item x="153"/>
        <item x="189"/>
        <item x="245"/>
        <item x="169"/>
        <item x="86"/>
        <item t="default"/>
      </items>
    </pivotField>
    <pivotField showAll="0"/>
    <pivotField showAll="0">
      <items count="4">
        <item h="1" x="2"/>
        <item h="1" x="0"/>
        <item x="1"/>
        <item t="default"/>
      </items>
    </pivotField>
    <pivotField showAll="0"/>
    <pivotField axis="axisRow" showAll="0">
      <items count="11">
        <item h="1" x="3"/>
        <item h="1" x="7"/>
        <item h="1" x="9"/>
        <item h="1" x="6"/>
        <item h="1" x="4"/>
        <item h="1" x="8"/>
        <item h="1" x="1"/>
        <item h="1" x="5"/>
        <item h="1" x="0"/>
        <item x="2"/>
        <item t="default"/>
      </items>
    </pivotField>
    <pivotField dataField="1"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x="5"/>
        <item h="1" x="6"/>
        <item h="1" x="7"/>
        <item h="1" x="8"/>
        <item h="1" x="9"/>
        <item h="1" x="10"/>
        <item h="1" x="11"/>
        <item h="1" x="12"/>
        <item h="1" x="13"/>
        <item t="default"/>
      </items>
    </pivotField>
  </pivotFields>
  <rowFields count="1">
    <field x="4"/>
  </rowFields>
  <rowItems count="2">
    <i>
      <x v="9"/>
    </i>
    <i t="grand">
      <x/>
    </i>
  </rowItems>
  <colFields count="1">
    <field x="-2"/>
  </colFields>
  <colItems count="2">
    <i>
      <x/>
    </i>
    <i i="1">
      <x v="1"/>
    </i>
  </colItems>
  <dataFields count="2">
    <dataField name="Sum of No. of Units" fld="5" baseField="0" baseItem="0"/>
    <dataField name="Sum of Price" fld="6" baseField="0" baseItem="0"/>
  </dataFields>
  <chartFormats count="4">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892164-B45A-4A28-B7A1-3C00A8C07CC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6:B38" firstHeaderRow="1" firstDataRow="1" firstDataCol="1"/>
  <pivotFields count="10">
    <pivotField numFmtId="164" showAll="0">
      <items count="276">
        <item x="28"/>
        <item x="188"/>
        <item x="105"/>
        <item x="114"/>
        <item x="92"/>
        <item x="111"/>
        <item x="10"/>
        <item x="25"/>
        <item x="215"/>
        <item x="216"/>
        <item x="238"/>
        <item x="243"/>
        <item x="52"/>
        <item x="146"/>
        <item x="103"/>
        <item x="7"/>
        <item x="79"/>
        <item x="138"/>
        <item x="251"/>
        <item x="133"/>
        <item x="237"/>
        <item x="209"/>
        <item x="186"/>
        <item x="137"/>
        <item x="115"/>
        <item x="228"/>
        <item x="171"/>
        <item x="261"/>
        <item x="4"/>
        <item x="64"/>
        <item x="162"/>
        <item x="118"/>
        <item x="256"/>
        <item x="213"/>
        <item x="47"/>
        <item x="248"/>
        <item x="217"/>
        <item x="55"/>
        <item x="71"/>
        <item x="170"/>
        <item x="125"/>
        <item x="106"/>
        <item x="180"/>
        <item x="226"/>
        <item x="33"/>
        <item x="199"/>
        <item x="140"/>
        <item x="59"/>
        <item x="202"/>
        <item x="22"/>
        <item x="46"/>
        <item x="51"/>
        <item x="81"/>
        <item x="166"/>
        <item x="270"/>
        <item x="241"/>
        <item x="178"/>
        <item x="135"/>
        <item x="167"/>
        <item x="34"/>
        <item x="89"/>
        <item x="116"/>
        <item x="74"/>
        <item x="12"/>
        <item x="14"/>
        <item x="122"/>
        <item x="155"/>
        <item x="240"/>
        <item x="73"/>
        <item x="131"/>
        <item x="220"/>
        <item x="257"/>
        <item x="264"/>
        <item x="113"/>
        <item x="60"/>
        <item x="191"/>
        <item x="56"/>
        <item x="9"/>
        <item x="262"/>
        <item x="158"/>
        <item x="15"/>
        <item x="30"/>
        <item x="197"/>
        <item x="198"/>
        <item x="232"/>
        <item x="159"/>
        <item x="149"/>
        <item x="77"/>
        <item x="20"/>
        <item x="29"/>
        <item x="225"/>
        <item x="44"/>
        <item x="163"/>
        <item x="160"/>
        <item x="206"/>
        <item x="117"/>
        <item x="172"/>
        <item x="152"/>
        <item x="272"/>
        <item x="176"/>
        <item x="54"/>
        <item x="254"/>
        <item x="185"/>
        <item x="268"/>
        <item x="23"/>
        <item x="82"/>
        <item x="148"/>
        <item x="136"/>
        <item x="175"/>
        <item x="84"/>
        <item x="157"/>
        <item x="66"/>
        <item x="246"/>
        <item x="274"/>
        <item x="17"/>
        <item x="144"/>
        <item x="68"/>
        <item x="24"/>
        <item x="221"/>
        <item x="242"/>
        <item x="35"/>
        <item x="142"/>
        <item x="120"/>
        <item x="165"/>
        <item x="91"/>
        <item x="211"/>
        <item x="32"/>
        <item x="233"/>
        <item x="127"/>
        <item x="223"/>
        <item x="190"/>
        <item x="192"/>
        <item x="222"/>
        <item x="218"/>
        <item x="36"/>
        <item x="182"/>
        <item x="224"/>
        <item x="143"/>
        <item x="104"/>
        <item x="260"/>
        <item x="53"/>
        <item x="128"/>
        <item x="88"/>
        <item x="94"/>
        <item x="62"/>
        <item x="3"/>
        <item x="21"/>
        <item x="134"/>
        <item x="8"/>
        <item x="42"/>
        <item x="253"/>
        <item x="107"/>
        <item x="39"/>
        <item x="69"/>
        <item x="184"/>
        <item x="48"/>
        <item x="164"/>
        <item x="129"/>
        <item x="147"/>
        <item x="40"/>
        <item x="208"/>
        <item x="200"/>
        <item x="161"/>
        <item x="210"/>
        <item x="110"/>
        <item x="16"/>
        <item x="41"/>
        <item x="255"/>
        <item x="11"/>
        <item x="119"/>
        <item x="45"/>
        <item x="205"/>
        <item x="123"/>
        <item x="252"/>
        <item x="258"/>
        <item x="19"/>
        <item x="173"/>
        <item x="63"/>
        <item x="126"/>
        <item x="97"/>
        <item x="236"/>
        <item x="168"/>
        <item x="201"/>
        <item x="265"/>
        <item x="100"/>
        <item x="95"/>
        <item x="239"/>
        <item x="31"/>
        <item x="183"/>
        <item x="124"/>
        <item x="65"/>
        <item x="230"/>
        <item x="102"/>
        <item x="235"/>
        <item x="269"/>
        <item x="49"/>
        <item x="67"/>
        <item x="70"/>
        <item x="0"/>
        <item x="1"/>
        <item x="195"/>
        <item x="76"/>
        <item x="247"/>
        <item x="38"/>
        <item x="231"/>
        <item x="229"/>
        <item x="87"/>
        <item x="57"/>
        <item x="139"/>
        <item x="27"/>
        <item x="214"/>
        <item x="244"/>
        <item x="156"/>
        <item x="121"/>
        <item x="187"/>
        <item x="43"/>
        <item x="99"/>
        <item x="267"/>
        <item x="75"/>
        <item x="179"/>
        <item x="177"/>
        <item x="78"/>
        <item x="6"/>
        <item x="266"/>
        <item x="174"/>
        <item x="26"/>
        <item x="145"/>
        <item x="132"/>
        <item x="2"/>
        <item x="219"/>
        <item x="259"/>
        <item x="50"/>
        <item x="37"/>
        <item x="249"/>
        <item x="250"/>
        <item x="80"/>
        <item x="212"/>
        <item x="112"/>
        <item x="18"/>
        <item x="203"/>
        <item x="150"/>
        <item x="93"/>
        <item x="263"/>
        <item x="151"/>
        <item x="98"/>
        <item x="130"/>
        <item x="204"/>
        <item x="85"/>
        <item x="196"/>
        <item x="227"/>
        <item x="83"/>
        <item x="181"/>
        <item x="5"/>
        <item x="234"/>
        <item x="96"/>
        <item x="13"/>
        <item x="90"/>
        <item x="61"/>
        <item x="273"/>
        <item x="271"/>
        <item x="109"/>
        <item x="108"/>
        <item x="193"/>
        <item x="101"/>
        <item x="72"/>
        <item x="141"/>
        <item x="207"/>
        <item x="194"/>
        <item x="154"/>
        <item x="58"/>
        <item x="153"/>
        <item x="189"/>
        <item x="245"/>
        <item x="169"/>
        <item x="86"/>
        <item t="default"/>
      </items>
    </pivotField>
    <pivotField showAll="0"/>
    <pivotField showAll="0">
      <items count="4">
        <item h="1" x="2"/>
        <item h="1" x="0"/>
        <item x="1"/>
        <item t="default"/>
      </items>
    </pivotField>
    <pivotField showAll="0"/>
    <pivotField axis="axisRow" showAll="0">
      <items count="11">
        <item h="1" x="3"/>
        <item h="1" x="7"/>
        <item h="1" x="9"/>
        <item h="1" x="6"/>
        <item h="1" x="4"/>
        <item h="1" x="8"/>
        <item h="1" x="1"/>
        <item h="1" x="5"/>
        <item h="1" x="0"/>
        <item x="2"/>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x="5"/>
        <item h="1" x="6"/>
        <item h="1" x="7"/>
        <item h="1" x="8"/>
        <item h="1" x="9"/>
        <item h="1" x="10"/>
        <item h="1" x="11"/>
        <item h="1" x="12"/>
        <item h="1" x="13"/>
        <item t="default"/>
      </items>
    </pivotField>
  </pivotFields>
  <rowFields count="1">
    <field x="4"/>
  </rowFields>
  <rowItems count="2">
    <i>
      <x v="9"/>
    </i>
    <i t="grand">
      <x/>
    </i>
  </rowItems>
  <colItems count="1">
    <i/>
  </colItems>
  <dataFields count="1">
    <dataField name="Sum of Amount" fld="7" baseField="0" baseItem="0" numFmtId="3"/>
  </dataFields>
  <chartFormats count="3">
    <chartFormat chart="1"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D08A3B-ADA6-4358-BBCD-504E5089854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B62" firstHeaderRow="1" firstDataRow="1" firstDataCol="1"/>
  <pivotFields count="10">
    <pivotField numFmtId="164" showAll="0">
      <items count="276">
        <item x="28"/>
        <item x="188"/>
        <item x="105"/>
        <item x="114"/>
        <item x="92"/>
        <item x="111"/>
        <item x="10"/>
        <item x="25"/>
        <item x="215"/>
        <item x="216"/>
        <item x="238"/>
        <item x="243"/>
        <item x="52"/>
        <item x="146"/>
        <item x="103"/>
        <item x="7"/>
        <item x="79"/>
        <item x="138"/>
        <item x="251"/>
        <item x="133"/>
        <item x="237"/>
        <item x="209"/>
        <item x="186"/>
        <item x="137"/>
        <item x="115"/>
        <item x="228"/>
        <item x="171"/>
        <item x="261"/>
        <item x="4"/>
        <item x="64"/>
        <item x="162"/>
        <item x="118"/>
        <item x="256"/>
        <item x="213"/>
        <item x="47"/>
        <item x="248"/>
        <item x="217"/>
        <item x="55"/>
        <item x="71"/>
        <item x="170"/>
        <item x="125"/>
        <item x="106"/>
        <item x="180"/>
        <item x="226"/>
        <item x="33"/>
        <item x="199"/>
        <item x="140"/>
        <item x="59"/>
        <item x="202"/>
        <item x="22"/>
        <item x="46"/>
        <item x="51"/>
        <item x="81"/>
        <item x="166"/>
        <item x="270"/>
        <item x="241"/>
        <item x="178"/>
        <item x="135"/>
        <item x="167"/>
        <item x="34"/>
        <item x="89"/>
        <item x="116"/>
        <item x="74"/>
        <item x="12"/>
        <item x="14"/>
        <item x="122"/>
        <item x="155"/>
        <item x="240"/>
        <item x="73"/>
        <item x="131"/>
        <item x="220"/>
        <item x="257"/>
        <item x="264"/>
        <item x="113"/>
        <item x="60"/>
        <item x="191"/>
        <item x="56"/>
        <item x="9"/>
        <item x="262"/>
        <item x="158"/>
        <item x="15"/>
        <item x="30"/>
        <item x="197"/>
        <item x="198"/>
        <item x="232"/>
        <item x="159"/>
        <item x="149"/>
        <item x="77"/>
        <item x="20"/>
        <item x="29"/>
        <item x="225"/>
        <item x="44"/>
        <item x="163"/>
        <item x="160"/>
        <item x="206"/>
        <item x="117"/>
        <item x="172"/>
        <item x="152"/>
        <item x="272"/>
        <item x="176"/>
        <item x="54"/>
        <item x="254"/>
        <item x="185"/>
        <item x="268"/>
        <item x="23"/>
        <item x="82"/>
        <item x="148"/>
        <item x="136"/>
        <item x="175"/>
        <item x="84"/>
        <item x="157"/>
        <item x="66"/>
        <item x="246"/>
        <item x="274"/>
        <item x="17"/>
        <item x="144"/>
        <item x="68"/>
        <item x="24"/>
        <item x="221"/>
        <item x="242"/>
        <item x="35"/>
        <item x="142"/>
        <item x="120"/>
        <item x="165"/>
        <item x="91"/>
        <item x="211"/>
        <item x="32"/>
        <item x="233"/>
        <item x="127"/>
        <item x="223"/>
        <item x="190"/>
        <item x="192"/>
        <item x="222"/>
        <item x="218"/>
        <item x="36"/>
        <item x="182"/>
        <item x="224"/>
        <item x="143"/>
        <item x="104"/>
        <item x="260"/>
        <item x="53"/>
        <item x="128"/>
        <item x="88"/>
        <item x="94"/>
        <item x="62"/>
        <item x="3"/>
        <item x="21"/>
        <item x="134"/>
        <item x="8"/>
        <item x="42"/>
        <item x="253"/>
        <item x="107"/>
        <item x="39"/>
        <item x="69"/>
        <item x="184"/>
        <item x="48"/>
        <item x="164"/>
        <item x="129"/>
        <item x="147"/>
        <item x="40"/>
        <item x="208"/>
        <item x="200"/>
        <item x="161"/>
        <item x="210"/>
        <item x="110"/>
        <item x="16"/>
        <item x="41"/>
        <item x="255"/>
        <item x="11"/>
        <item x="119"/>
        <item x="45"/>
        <item x="205"/>
        <item x="123"/>
        <item x="252"/>
        <item x="258"/>
        <item x="19"/>
        <item x="173"/>
        <item x="63"/>
        <item x="126"/>
        <item x="97"/>
        <item x="236"/>
        <item x="168"/>
        <item x="201"/>
        <item x="265"/>
        <item x="100"/>
        <item x="95"/>
        <item x="239"/>
        <item x="31"/>
        <item x="183"/>
        <item x="124"/>
        <item x="65"/>
        <item x="230"/>
        <item x="102"/>
        <item x="235"/>
        <item x="269"/>
        <item x="49"/>
        <item x="67"/>
        <item x="70"/>
        <item x="0"/>
        <item x="1"/>
        <item x="195"/>
        <item x="76"/>
        <item x="247"/>
        <item x="38"/>
        <item x="231"/>
        <item x="229"/>
        <item x="87"/>
        <item x="57"/>
        <item x="139"/>
        <item x="27"/>
        <item x="214"/>
        <item x="244"/>
        <item x="156"/>
        <item x="121"/>
        <item x="187"/>
        <item x="43"/>
        <item x="99"/>
        <item x="267"/>
        <item x="75"/>
        <item x="179"/>
        <item x="177"/>
        <item x="78"/>
        <item x="6"/>
        <item x="266"/>
        <item x="174"/>
        <item x="26"/>
        <item x="145"/>
        <item x="132"/>
        <item x="2"/>
        <item x="219"/>
        <item x="259"/>
        <item x="50"/>
        <item x="37"/>
        <item x="249"/>
        <item x="250"/>
        <item x="80"/>
        <item x="212"/>
        <item x="112"/>
        <item x="18"/>
        <item x="203"/>
        <item x="150"/>
        <item x="93"/>
        <item x="263"/>
        <item x="151"/>
        <item x="98"/>
        <item x="130"/>
        <item x="204"/>
        <item x="85"/>
        <item x="196"/>
        <item x="227"/>
        <item x="83"/>
        <item x="181"/>
        <item x="5"/>
        <item x="234"/>
        <item x="96"/>
        <item x="13"/>
        <item x="90"/>
        <item x="61"/>
        <item x="273"/>
        <item x="271"/>
        <item x="109"/>
        <item x="108"/>
        <item x="193"/>
        <item x="101"/>
        <item x="72"/>
        <item x="141"/>
        <item x="207"/>
        <item x="194"/>
        <item x="154"/>
        <item x="58"/>
        <item x="153"/>
        <item x="189"/>
        <item x="245"/>
        <item x="169"/>
        <item x="86"/>
        <item t="default"/>
      </items>
    </pivotField>
    <pivotField showAll="0"/>
    <pivotField axis="axisRow" showAll="0">
      <items count="4">
        <item h="1" x="2"/>
        <item h="1" x="0"/>
        <item x="1"/>
        <item t="default"/>
      </items>
    </pivotField>
    <pivotField showAll="0"/>
    <pivotField showAll="0">
      <items count="11">
        <item h="1" x="3"/>
        <item h="1" x="7"/>
        <item h="1" x="9"/>
        <item h="1" x="6"/>
        <item h="1" x="4"/>
        <item h="1" x="8"/>
        <item h="1" x="1"/>
        <item h="1" x="5"/>
        <item h="1" x="0"/>
        <item x="2"/>
        <item t="default"/>
      </items>
    </pivotField>
    <pivotField showAll="0"/>
    <pivotField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2">
    <i>
      <x v="2"/>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0814AE-4C6C-4C84-912D-F90C65D91C0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3:B45" firstHeaderRow="1" firstDataRow="1" firstDataCol="1"/>
  <pivotFields count="10">
    <pivotField numFmtId="164" showAll="0">
      <items count="276">
        <item x="28"/>
        <item x="188"/>
        <item x="105"/>
        <item x="114"/>
        <item x="92"/>
        <item x="111"/>
        <item x="10"/>
        <item x="25"/>
        <item x="215"/>
        <item x="216"/>
        <item x="238"/>
        <item x="243"/>
        <item x="52"/>
        <item x="146"/>
        <item x="103"/>
        <item x="7"/>
        <item x="79"/>
        <item x="138"/>
        <item x="251"/>
        <item x="133"/>
        <item x="237"/>
        <item x="209"/>
        <item x="186"/>
        <item x="137"/>
        <item x="115"/>
        <item x="228"/>
        <item x="171"/>
        <item x="261"/>
        <item x="4"/>
        <item x="64"/>
        <item x="162"/>
        <item x="118"/>
        <item x="256"/>
        <item x="213"/>
        <item x="47"/>
        <item x="248"/>
        <item x="217"/>
        <item x="55"/>
        <item x="71"/>
        <item x="170"/>
        <item x="125"/>
        <item x="106"/>
        <item x="180"/>
        <item x="226"/>
        <item x="33"/>
        <item x="199"/>
        <item x="140"/>
        <item x="59"/>
        <item x="202"/>
        <item x="22"/>
        <item x="46"/>
        <item x="51"/>
        <item x="81"/>
        <item x="166"/>
        <item x="270"/>
        <item x="241"/>
        <item x="178"/>
        <item x="135"/>
        <item x="167"/>
        <item x="34"/>
        <item x="89"/>
        <item x="116"/>
        <item x="74"/>
        <item x="12"/>
        <item x="14"/>
        <item x="122"/>
        <item x="155"/>
        <item x="240"/>
        <item x="73"/>
        <item x="131"/>
        <item x="220"/>
        <item x="257"/>
        <item x="264"/>
        <item x="113"/>
        <item x="60"/>
        <item x="191"/>
        <item x="56"/>
        <item x="9"/>
        <item x="262"/>
        <item x="158"/>
        <item x="15"/>
        <item x="30"/>
        <item x="197"/>
        <item x="198"/>
        <item x="232"/>
        <item x="159"/>
        <item x="149"/>
        <item x="77"/>
        <item x="20"/>
        <item x="29"/>
        <item x="225"/>
        <item x="44"/>
        <item x="163"/>
        <item x="160"/>
        <item x="206"/>
        <item x="117"/>
        <item x="172"/>
        <item x="152"/>
        <item x="272"/>
        <item x="176"/>
        <item x="54"/>
        <item x="254"/>
        <item x="185"/>
        <item x="268"/>
        <item x="23"/>
        <item x="82"/>
        <item x="148"/>
        <item x="136"/>
        <item x="175"/>
        <item x="84"/>
        <item x="157"/>
        <item x="66"/>
        <item x="246"/>
        <item x="274"/>
        <item x="17"/>
        <item x="144"/>
        <item x="68"/>
        <item x="24"/>
        <item x="221"/>
        <item x="242"/>
        <item x="35"/>
        <item x="142"/>
        <item x="120"/>
        <item x="165"/>
        <item x="91"/>
        <item x="211"/>
        <item x="32"/>
        <item x="233"/>
        <item x="127"/>
        <item x="223"/>
        <item x="190"/>
        <item x="192"/>
        <item x="222"/>
        <item x="218"/>
        <item x="36"/>
        <item x="182"/>
        <item x="224"/>
        <item x="143"/>
        <item x="104"/>
        <item x="260"/>
        <item x="53"/>
        <item x="128"/>
        <item x="88"/>
        <item x="94"/>
        <item x="62"/>
        <item x="3"/>
        <item x="21"/>
        <item x="134"/>
        <item x="8"/>
        <item x="42"/>
        <item x="253"/>
        <item x="107"/>
        <item x="39"/>
        <item x="69"/>
        <item x="184"/>
        <item x="48"/>
        <item x="164"/>
        <item x="129"/>
        <item x="147"/>
        <item x="40"/>
        <item x="208"/>
        <item x="200"/>
        <item x="161"/>
        <item x="210"/>
        <item x="110"/>
        <item x="16"/>
        <item x="41"/>
        <item x="255"/>
        <item x="11"/>
        <item x="119"/>
        <item x="45"/>
        <item x="205"/>
        <item x="123"/>
        <item x="252"/>
        <item x="258"/>
        <item x="19"/>
        <item x="173"/>
        <item x="63"/>
        <item x="126"/>
        <item x="97"/>
        <item x="236"/>
        <item x="168"/>
        <item x="201"/>
        <item x="265"/>
        <item x="100"/>
        <item x="95"/>
        <item x="239"/>
        <item x="31"/>
        <item x="183"/>
        <item x="124"/>
        <item x="65"/>
        <item x="230"/>
        <item x="102"/>
        <item x="235"/>
        <item x="269"/>
        <item x="49"/>
        <item x="67"/>
        <item x="70"/>
        <item x="0"/>
        <item x="1"/>
        <item x="195"/>
        <item x="76"/>
        <item x="247"/>
        <item x="38"/>
        <item x="231"/>
        <item x="229"/>
        <item x="87"/>
        <item x="57"/>
        <item x="139"/>
        <item x="27"/>
        <item x="214"/>
        <item x="244"/>
        <item x="156"/>
        <item x="121"/>
        <item x="187"/>
        <item x="43"/>
        <item x="99"/>
        <item x="267"/>
        <item x="75"/>
        <item x="179"/>
        <item x="177"/>
        <item x="78"/>
        <item x="6"/>
        <item x="266"/>
        <item x="174"/>
        <item x="26"/>
        <item x="145"/>
        <item x="132"/>
        <item x="2"/>
        <item x="219"/>
        <item x="259"/>
        <item x="50"/>
        <item x="37"/>
        <item x="249"/>
        <item x="250"/>
        <item x="80"/>
        <item x="212"/>
        <item x="112"/>
        <item x="18"/>
        <item x="203"/>
        <item x="150"/>
        <item x="93"/>
        <item x="263"/>
        <item x="151"/>
        <item x="98"/>
        <item x="130"/>
        <item x="204"/>
        <item x="85"/>
        <item x="196"/>
        <item x="227"/>
        <item x="83"/>
        <item x="181"/>
        <item x="5"/>
        <item x="234"/>
        <item x="96"/>
        <item x="13"/>
        <item x="90"/>
        <item x="61"/>
        <item x="273"/>
        <item x="271"/>
        <item x="109"/>
        <item x="108"/>
        <item x="193"/>
        <item x="101"/>
        <item x="72"/>
        <item x="141"/>
        <item x="207"/>
        <item x="194"/>
        <item x="154"/>
        <item x="58"/>
        <item x="153"/>
        <item x="189"/>
        <item x="245"/>
        <item x="169"/>
        <item x="86"/>
        <item t="default"/>
      </items>
    </pivotField>
    <pivotField showAll="0"/>
    <pivotField showAll="0">
      <items count="4">
        <item h="1" x="2"/>
        <item h="1" x="0"/>
        <item x="1"/>
        <item t="default"/>
      </items>
    </pivotField>
    <pivotField dataField="1" showAll="0"/>
    <pivotField axis="axisRow" showAll="0">
      <items count="11">
        <item h="1" x="3"/>
        <item h="1" x="7"/>
        <item h="1" x="9"/>
        <item h="1" x="6"/>
        <item h="1" x="4"/>
        <item h="1" x="8"/>
        <item h="1" x="1"/>
        <item h="1" x="5"/>
        <item h="1" x="0"/>
        <item x="2"/>
        <item t="default"/>
      </items>
    </pivotField>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2">
    <i>
      <x v="9"/>
    </i>
    <i t="grand">
      <x/>
    </i>
  </rowItems>
  <colItems count="1">
    <i/>
  </colItems>
  <dataFields count="1">
    <dataField name="Count of Sales Rep" fld="3" subtotal="count" baseField="0" baseItem="0"/>
  </dataField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F864EB-9923-4696-9D49-94F9D24782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6:B34" firstHeaderRow="1" firstDataRow="1" firstDataCol="1"/>
  <pivotFields count="10">
    <pivotField axis="axisRow" numFmtId="164" showAll="0">
      <items count="276">
        <item x="28"/>
        <item x="188"/>
        <item x="105"/>
        <item x="114"/>
        <item x="92"/>
        <item x="111"/>
        <item x="10"/>
        <item x="25"/>
        <item x="215"/>
        <item x="216"/>
        <item x="238"/>
        <item x="243"/>
        <item x="52"/>
        <item x="146"/>
        <item x="103"/>
        <item x="7"/>
        <item x="79"/>
        <item x="138"/>
        <item x="251"/>
        <item x="133"/>
        <item x="237"/>
        <item x="209"/>
        <item x="186"/>
        <item x="137"/>
        <item x="115"/>
        <item x="228"/>
        <item x="171"/>
        <item x="261"/>
        <item x="4"/>
        <item x="64"/>
        <item x="162"/>
        <item x="118"/>
        <item x="256"/>
        <item x="213"/>
        <item x="47"/>
        <item x="248"/>
        <item x="217"/>
        <item x="55"/>
        <item x="71"/>
        <item x="170"/>
        <item x="125"/>
        <item x="106"/>
        <item x="180"/>
        <item x="226"/>
        <item x="33"/>
        <item x="199"/>
        <item x="140"/>
        <item x="59"/>
        <item x="202"/>
        <item x="22"/>
        <item x="46"/>
        <item x="51"/>
        <item x="81"/>
        <item x="166"/>
        <item x="270"/>
        <item x="241"/>
        <item x="178"/>
        <item x="135"/>
        <item x="167"/>
        <item x="34"/>
        <item x="89"/>
        <item x="116"/>
        <item x="74"/>
        <item x="12"/>
        <item x="14"/>
        <item x="122"/>
        <item x="155"/>
        <item x="240"/>
        <item x="73"/>
        <item x="131"/>
        <item x="220"/>
        <item x="257"/>
        <item x="264"/>
        <item x="113"/>
        <item x="60"/>
        <item x="191"/>
        <item x="56"/>
        <item x="9"/>
        <item x="262"/>
        <item x="158"/>
        <item x="15"/>
        <item x="30"/>
        <item x="197"/>
        <item x="198"/>
        <item x="232"/>
        <item x="159"/>
        <item x="149"/>
        <item x="77"/>
        <item x="20"/>
        <item x="29"/>
        <item x="225"/>
        <item x="44"/>
        <item x="163"/>
        <item x="160"/>
        <item x="206"/>
        <item x="117"/>
        <item x="172"/>
        <item x="152"/>
        <item x="272"/>
        <item x="176"/>
        <item x="54"/>
        <item x="254"/>
        <item x="185"/>
        <item x="268"/>
        <item x="23"/>
        <item x="82"/>
        <item x="148"/>
        <item x="136"/>
        <item x="175"/>
        <item x="84"/>
        <item x="157"/>
        <item x="66"/>
        <item x="246"/>
        <item x="274"/>
        <item x="17"/>
        <item x="144"/>
        <item x="68"/>
        <item x="24"/>
        <item x="221"/>
        <item x="242"/>
        <item x="35"/>
        <item x="142"/>
        <item x="120"/>
        <item x="165"/>
        <item x="91"/>
        <item x="211"/>
        <item x="32"/>
        <item x="233"/>
        <item x="127"/>
        <item x="223"/>
        <item x="190"/>
        <item x="192"/>
        <item x="222"/>
        <item x="218"/>
        <item x="36"/>
        <item x="182"/>
        <item x="224"/>
        <item x="143"/>
        <item x="104"/>
        <item x="260"/>
        <item x="53"/>
        <item x="128"/>
        <item x="88"/>
        <item x="94"/>
        <item x="62"/>
        <item x="3"/>
        <item x="21"/>
        <item x="134"/>
        <item x="8"/>
        <item x="42"/>
        <item x="253"/>
        <item x="107"/>
        <item x="39"/>
        <item x="69"/>
        <item x="184"/>
        <item x="48"/>
        <item x="164"/>
        <item x="129"/>
        <item x="147"/>
        <item x="40"/>
        <item x="208"/>
        <item x="200"/>
        <item x="161"/>
        <item x="210"/>
        <item x="110"/>
        <item x="16"/>
        <item x="41"/>
        <item x="255"/>
        <item x="11"/>
        <item x="119"/>
        <item x="45"/>
        <item x="205"/>
        <item x="123"/>
        <item x="252"/>
        <item x="258"/>
        <item x="19"/>
        <item x="173"/>
        <item x="63"/>
        <item x="126"/>
        <item x="97"/>
        <item x="236"/>
        <item x="168"/>
        <item x="201"/>
        <item x="265"/>
        <item x="100"/>
        <item x="95"/>
        <item x="239"/>
        <item x="31"/>
        <item x="183"/>
        <item x="124"/>
        <item x="65"/>
        <item x="230"/>
        <item x="102"/>
        <item x="235"/>
        <item x="269"/>
        <item x="49"/>
        <item x="67"/>
        <item x="70"/>
        <item x="0"/>
        <item x="1"/>
        <item x="195"/>
        <item x="76"/>
        <item x="247"/>
        <item x="38"/>
        <item x="231"/>
        <item x="229"/>
        <item x="87"/>
        <item x="57"/>
        <item x="139"/>
        <item x="27"/>
        <item x="214"/>
        <item x="244"/>
        <item x="156"/>
        <item x="121"/>
        <item x="187"/>
        <item x="43"/>
        <item x="99"/>
        <item x="267"/>
        <item x="75"/>
        <item x="179"/>
        <item x="177"/>
        <item x="78"/>
        <item x="6"/>
        <item x="266"/>
        <item x="174"/>
        <item x="26"/>
        <item x="145"/>
        <item x="132"/>
        <item x="2"/>
        <item x="219"/>
        <item x="259"/>
        <item x="50"/>
        <item x="37"/>
        <item x="249"/>
        <item x="250"/>
        <item x="80"/>
        <item x="212"/>
        <item x="112"/>
        <item x="18"/>
        <item x="203"/>
        <item x="150"/>
        <item x="93"/>
        <item x="263"/>
        <item x="151"/>
        <item x="98"/>
        <item x="130"/>
        <item x="204"/>
        <item x="85"/>
        <item x="196"/>
        <item x="227"/>
        <item x="83"/>
        <item x="181"/>
        <item x="5"/>
        <item x="234"/>
        <item x="96"/>
        <item x="13"/>
        <item x="90"/>
        <item x="61"/>
        <item x="273"/>
        <item x="271"/>
        <item x="109"/>
        <item x="108"/>
        <item x="193"/>
        <item x="101"/>
        <item x="72"/>
        <item x="141"/>
        <item x="207"/>
        <item x="194"/>
        <item x="154"/>
        <item x="58"/>
        <item x="153"/>
        <item x="189"/>
        <item x="245"/>
        <item x="169"/>
        <item x="86"/>
        <item t="default"/>
      </items>
    </pivotField>
    <pivotField showAll="0"/>
    <pivotField showAll="0">
      <items count="4">
        <item h="1" x="2"/>
        <item h="1" x="0"/>
        <item x="1"/>
        <item t="default"/>
      </items>
    </pivotField>
    <pivotField showAll="0"/>
    <pivotField showAll="0">
      <items count="11">
        <item h="1" x="3"/>
        <item h="1" x="7"/>
        <item h="1" x="9"/>
        <item h="1" x="6"/>
        <item h="1" x="4"/>
        <item h="1" x="8"/>
        <item h="1" x="1"/>
        <item h="1" x="5"/>
        <item h="1" x="0"/>
        <item x="2"/>
        <item t="default"/>
      </items>
    </pivotField>
    <pivotField showAll="0"/>
    <pivotField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9"/>
    <field x="8"/>
    <field x="0"/>
  </rowFields>
  <rowItems count="8">
    <i>
      <x v="1"/>
    </i>
    <i>
      <x v="4"/>
    </i>
    <i>
      <x v="5"/>
    </i>
    <i>
      <x v="7"/>
    </i>
    <i>
      <x v="8"/>
    </i>
    <i>
      <x v="9"/>
    </i>
    <i>
      <x v="11"/>
    </i>
    <i t="grand">
      <x/>
    </i>
  </rowItems>
  <colItems count="1">
    <i/>
  </colItems>
  <dataFields count="1">
    <dataField name="Sum of Amount" fld="7"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4CF3EE6-5320-4D41-91EE-4B906F1FA4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7" firstHeaderRow="1" firstDataRow="1" firstDataCol="1"/>
  <pivotFields count="10">
    <pivotField numFmtId="164" showAll="0">
      <items count="276">
        <item x="28"/>
        <item x="188"/>
        <item x="105"/>
        <item x="114"/>
        <item x="92"/>
        <item x="111"/>
        <item x="10"/>
        <item x="25"/>
        <item x="215"/>
        <item x="216"/>
        <item x="238"/>
        <item x="243"/>
        <item x="52"/>
        <item x="146"/>
        <item x="103"/>
        <item x="7"/>
        <item x="79"/>
        <item x="138"/>
        <item x="251"/>
        <item x="133"/>
        <item x="237"/>
        <item x="209"/>
        <item x="186"/>
        <item x="137"/>
        <item x="115"/>
        <item x="228"/>
        <item x="171"/>
        <item x="261"/>
        <item x="4"/>
        <item x="64"/>
        <item x="162"/>
        <item x="118"/>
        <item x="256"/>
        <item x="213"/>
        <item x="47"/>
        <item x="248"/>
        <item x="217"/>
        <item x="55"/>
        <item x="71"/>
        <item x="170"/>
        <item x="125"/>
        <item x="106"/>
        <item x="180"/>
        <item x="226"/>
        <item x="33"/>
        <item x="199"/>
        <item x="140"/>
        <item x="59"/>
        <item x="202"/>
        <item x="22"/>
        <item x="46"/>
        <item x="51"/>
        <item x="81"/>
        <item x="166"/>
        <item x="270"/>
        <item x="241"/>
        <item x="178"/>
        <item x="135"/>
        <item x="167"/>
        <item x="34"/>
        <item x="89"/>
        <item x="116"/>
        <item x="74"/>
        <item x="12"/>
        <item x="14"/>
        <item x="122"/>
        <item x="155"/>
        <item x="240"/>
        <item x="73"/>
        <item x="131"/>
        <item x="220"/>
        <item x="257"/>
        <item x="264"/>
        <item x="113"/>
        <item x="60"/>
        <item x="191"/>
        <item x="56"/>
        <item x="9"/>
        <item x="262"/>
        <item x="158"/>
        <item x="15"/>
        <item x="30"/>
        <item x="197"/>
        <item x="198"/>
        <item x="232"/>
        <item x="159"/>
        <item x="149"/>
        <item x="77"/>
        <item x="20"/>
        <item x="29"/>
        <item x="225"/>
        <item x="44"/>
        <item x="163"/>
        <item x="160"/>
        <item x="206"/>
        <item x="117"/>
        <item x="172"/>
        <item x="152"/>
        <item x="272"/>
        <item x="176"/>
        <item x="54"/>
        <item x="254"/>
        <item x="185"/>
        <item x="268"/>
        <item x="23"/>
        <item x="82"/>
        <item x="148"/>
        <item x="136"/>
        <item x="175"/>
        <item x="84"/>
        <item x="157"/>
        <item x="66"/>
        <item x="246"/>
        <item x="274"/>
        <item x="17"/>
        <item x="144"/>
        <item x="68"/>
        <item x="24"/>
        <item x="221"/>
        <item x="242"/>
        <item x="35"/>
        <item x="142"/>
        <item x="120"/>
        <item x="165"/>
        <item x="91"/>
        <item x="211"/>
        <item x="32"/>
        <item x="233"/>
        <item x="127"/>
        <item x="223"/>
        <item x="190"/>
        <item x="192"/>
        <item x="222"/>
        <item x="218"/>
        <item x="36"/>
        <item x="182"/>
        <item x="224"/>
        <item x="143"/>
        <item x="104"/>
        <item x="260"/>
        <item x="53"/>
        <item x="128"/>
        <item x="88"/>
        <item x="94"/>
        <item x="62"/>
        <item x="3"/>
        <item x="21"/>
        <item x="134"/>
        <item x="8"/>
        <item x="42"/>
        <item x="253"/>
        <item x="107"/>
        <item x="39"/>
        <item x="69"/>
        <item x="184"/>
        <item x="48"/>
        <item x="164"/>
        <item x="129"/>
        <item x="147"/>
        <item x="40"/>
        <item x="208"/>
        <item x="200"/>
        <item x="161"/>
        <item x="210"/>
        <item x="110"/>
        <item x="16"/>
        <item x="41"/>
        <item x="255"/>
        <item x="11"/>
        <item x="119"/>
        <item x="45"/>
        <item x="205"/>
        <item x="123"/>
        <item x="252"/>
        <item x="258"/>
        <item x="19"/>
        <item x="173"/>
        <item x="63"/>
        <item x="126"/>
        <item x="97"/>
        <item x="236"/>
        <item x="168"/>
        <item x="201"/>
        <item x="265"/>
        <item x="100"/>
        <item x="95"/>
        <item x="239"/>
        <item x="31"/>
        <item x="183"/>
        <item x="124"/>
        <item x="65"/>
        <item x="230"/>
        <item x="102"/>
        <item x="235"/>
        <item x="269"/>
        <item x="49"/>
        <item x="67"/>
        <item x="70"/>
        <item x="0"/>
        <item x="1"/>
        <item x="195"/>
        <item x="76"/>
        <item x="247"/>
        <item x="38"/>
        <item x="231"/>
        <item x="229"/>
        <item x="87"/>
        <item x="57"/>
        <item x="139"/>
        <item x="27"/>
        <item x="214"/>
        <item x="244"/>
        <item x="156"/>
        <item x="121"/>
        <item x="187"/>
        <item x="43"/>
        <item x="99"/>
        <item x="267"/>
        <item x="75"/>
        <item x="179"/>
        <item x="177"/>
        <item x="78"/>
        <item x="6"/>
        <item x="266"/>
        <item x="174"/>
        <item x="26"/>
        <item x="145"/>
        <item x="132"/>
        <item x="2"/>
        <item x="219"/>
        <item x="259"/>
        <item x="50"/>
        <item x="37"/>
        <item x="249"/>
        <item x="250"/>
        <item x="80"/>
        <item x="212"/>
        <item x="112"/>
        <item x="18"/>
        <item x="203"/>
        <item x="150"/>
        <item x="93"/>
        <item x="263"/>
        <item x="151"/>
        <item x="98"/>
        <item x="130"/>
        <item x="204"/>
        <item x="85"/>
        <item x="196"/>
        <item x="227"/>
        <item x="83"/>
        <item x="181"/>
        <item x="5"/>
        <item x="234"/>
        <item x="96"/>
        <item x="13"/>
        <item x="90"/>
        <item x="61"/>
        <item x="273"/>
        <item x="271"/>
        <item x="109"/>
        <item x="108"/>
        <item x="193"/>
        <item x="101"/>
        <item x="72"/>
        <item x="141"/>
        <item x="207"/>
        <item x="194"/>
        <item x="154"/>
        <item x="58"/>
        <item x="153"/>
        <item x="189"/>
        <item x="245"/>
        <item x="169"/>
        <item x="86"/>
        <item t="default"/>
      </items>
    </pivotField>
    <pivotField axis="axisRow" showAll="0" sortType="descending">
      <items count="10">
        <item x="2"/>
        <item x="0"/>
        <item x="4"/>
        <item x="7"/>
        <item x="5"/>
        <item x="1"/>
        <item x="3"/>
        <item x="8"/>
        <item x="6"/>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showAll="0"/>
    <pivotField showAll="0">
      <items count="11">
        <item h="1" x="3"/>
        <item h="1" x="7"/>
        <item h="1" x="9"/>
        <item h="1" x="6"/>
        <item h="1" x="4"/>
        <item h="1" x="8"/>
        <item h="1" x="1"/>
        <item h="1" x="5"/>
        <item h="1" x="0"/>
        <item x="2"/>
        <item t="default"/>
      </items>
    </pivotField>
    <pivotField showAll="0"/>
    <pivotField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4">
    <i>
      <x v="7"/>
    </i>
    <i>
      <x v="3"/>
    </i>
    <i>
      <x v="5"/>
    </i>
    <i t="grand">
      <x/>
    </i>
  </rowItems>
  <colItems count="1">
    <i/>
  </colItems>
  <dataFields count="1">
    <dataField name="Sum of Amount" fld="7" baseField="0" baseItem="0"/>
  </dataFields>
  <chartFormats count="19">
    <chartFormat chart="12" format="9"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2" format="20" series="1">
      <pivotArea type="data" outline="0" fieldPosition="0">
        <references count="1">
          <reference field="4294967294" count="1" selected="0">
            <x v="0"/>
          </reference>
        </references>
      </pivotArea>
    </chartFormat>
    <chartFormat chart="22" format="21">
      <pivotArea type="data" outline="0" fieldPosition="0">
        <references count="2">
          <reference field="4294967294" count="1" selected="0">
            <x v="0"/>
          </reference>
          <reference field="1" count="1" selected="0">
            <x v="1"/>
          </reference>
        </references>
      </pivotArea>
    </chartFormat>
    <chartFormat chart="22" format="22">
      <pivotArea type="data" outline="0" fieldPosition="0">
        <references count="2">
          <reference field="4294967294" count="1" selected="0">
            <x v="0"/>
          </reference>
          <reference field="1" count="1" selected="0">
            <x v="4"/>
          </reference>
        </references>
      </pivotArea>
    </chartFormat>
    <chartFormat chart="22" format="23">
      <pivotArea type="data" outline="0" fieldPosition="0">
        <references count="2">
          <reference field="4294967294" count="1" selected="0">
            <x v="0"/>
          </reference>
          <reference field="1" count="1" selected="0">
            <x v="3"/>
          </reference>
        </references>
      </pivotArea>
    </chartFormat>
    <chartFormat chart="22" format="24">
      <pivotArea type="data" outline="0" fieldPosition="0">
        <references count="2">
          <reference field="4294967294" count="1" selected="0">
            <x v="0"/>
          </reference>
          <reference field="1" count="1" selected="0">
            <x v="2"/>
          </reference>
        </references>
      </pivotArea>
    </chartFormat>
    <chartFormat chart="22" format="25">
      <pivotArea type="data" outline="0" fieldPosition="0">
        <references count="2">
          <reference field="4294967294" count="1" selected="0">
            <x v="0"/>
          </reference>
          <reference field="1" count="1" selected="0">
            <x v="7"/>
          </reference>
        </references>
      </pivotArea>
    </chartFormat>
    <chartFormat chart="22" format="26">
      <pivotArea type="data" outline="0" fieldPosition="0">
        <references count="2">
          <reference field="4294967294" count="1" selected="0">
            <x v="0"/>
          </reference>
          <reference field="1" count="1" selected="0">
            <x v="5"/>
          </reference>
        </references>
      </pivotArea>
    </chartFormat>
    <chartFormat chart="22" format="27">
      <pivotArea type="data" outline="0" fieldPosition="0">
        <references count="2">
          <reference field="4294967294" count="1" selected="0">
            <x v="0"/>
          </reference>
          <reference field="1" count="1" selected="0">
            <x v="8"/>
          </reference>
        </references>
      </pivotArea>
    </chartFormat>
    <chartFormat chart="22" format="28">
      <pivotArea type="data" outline="0" fieldPosition="0">
        <references count="2">
          <reference field="4294967294" count="1" selected="0">
            <x v="0"/>
          </reference>
          <reference field="1" count="1" selected="0">
            <x v="0"/>
          </reference>
        </references>
      </pivotArea>
    </chartFormat>
    <chartFormat chart="22" format="29">
      <pivotArea type="data" outline="0" fieldPosition="0">
        <references count="2">
          <reference field="4294967294" count="1" selected="0">
            <x v="0"/>
          </reference>
          <reference field="1" count="1" selected="0">
            <x v="6"/>
          </reference>
        </references>
      </pivotArea>
    </chartFormat>
    <chartFormat chart="4"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E3749FD-BEB8-4CE2-8C4B-C5B85C43C0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E8" firstHeaderRow="1" firstDataRow="1" firstDataCol="1"/>
  <pivotFields count="10">
    <pivotField numFmtId="164" showAll="0">
      <items count="276">
        <item x="28"/>
        <item x="188"/>
        <item x="105"/>
        <item x="114"/>
        <item x="92"/>
        <item x="111"/>
        <item x="10"/>
        <item x="25"/>
        <item x="215"/>
        <item x="216"/>
        <item x="238"/>
        <item x="243"/>
        <item x="52"/>
        <item x="146"/>
        <item x="103"/>
        <item x="7"/>
        <item x="79"/>
        <item x="138"/>
        <item x="251"/>
        <item x="133"/>
        <item x="237"/>
        <item x="209"/>
        <item x="186"/>
        <item x="137"/>
        <item x="115"/>
        <item x="228"/>
        <item x="171"/>
        <item x="261"/>
        <item x="4"/>
        <item x="64"/>
        <item x="162"/>
        <item x="118"/>
        <item x="256"/>
        <item x="213"/>
        <item x="47"/>
        <item x="248"/>
        <item x="217"/>
        <item x="55"/>
        <item x="71"/>
        <item x="170"/>
        <item x="125"/>
        <item x="106"/>
        <item x="180"/>
        <item x="226"/>
        <item x="33"/>
        <item x="199"/>
        <item x="140"/>
        <item x="59"/>
        <item x="202"/>
        <item x="22"/>
        <item x="46"/>
        <item x="51"/>
        <item x="81"/>
        <item x="166"/>
        <item x="270"/>
        <item x="241"/>
        <item x="178"/>
        <item x="135"/>
        <item x="167"/>
        <item x="34"/>
        <item x="89"/>
        <item x="116"/>
        <item x="74"/>
        <item x="12"/>
        <item x="14"/>
        <item x="122"/>
        <item x="155"/>
        <item x="240"/>
        <item x="73"/>
        <item x="131"/>
        <item x="220"/>
        <item x="257"/>
        <item x="264"/>
        <item x="113"/>
        <item x="60"/>
        <item x="191"/>
        <item x="56"/>
        <item x="9"/>
        <item x="262"/>
        <item x="158"/>
        <item x="15"/>
        <item x="30"/>
        <item x="197"/>
        <item x="198"/>
        <item x="232"/>
        <item x="159"/>
        <item x="149"/>
        <item x="77"/>
        <item x="20"/>
        <item x="29"/>
        <item x="225"/>
        <item x="44"/>
        <item x="163"/>
        <item x="160"/>
        <item x="206"/>
        <item x="117"/>
        <item x="172"/>
        <item x="152"/>
        <item x="272"/>
        <item x="176"/>
        <item x="54"/>
        <item x="254"/>
        <item x="185"/>
        <item x="268"/>
        <item x="23"/>
        <item x="82"/>
        <item x="148"/>
        <item x="136"/>
        <item x="175"/>
        <item x="84"/>
        <item x="157"/>
        <item x="66"/>
        <item x="246"/>
        <item x="274"/>
        <item x="17"/>
        <item x="144"/>
        <item x="68"/>
        <item x="24"/>
        <item x="221"/>
        <item x="242"/>
        <item x="35"/>
        <item x="142"/>
        <item x="120"/>
        <item x="165"/>
        <item x="91"/>
        <item x="211"/>
        <item x="32"/>
        <item x="233"/>
        <item x="127"/>
        <item x="223"/>
        <item x="190"/>
        <item x="192"/>
        <item x="222"/>
        <item x="218"/>
        <item x="36"/>
        <item x="182"/>
        <item x="224"/>
        <item x="143"/>
        <item x="104"/>
        <item x="260"/>
        <item x="53"/>
        <item x="128"/>
        <item x="88"/>
        <item x="94"/>
        <item x="62"/>
        <item x="3"/>
        <item x="21"/>
        <item x="134"/>
        <item x="8"/>
        <item x="42"/>
        <item x="253"/>
        <item x="107"/>
        <item x="39"/>
        <item x="69"/>
        <item x="184"/>
        <item x="48"/>
        <item x="164"/>
        <item x="129"/>
        <item x="147"/>
        <item x="40"/>
        <item x="208"/>
        <item x="200"/>
        <item x="161"/>
        <item x="210"/>
        <item x="110"/>
        <item x="16"/>
        <item x="41"/>
        <item x="255"/>
        <item x="11"/>
        <item x="119"/>
        <item x="45"/>
        <item x="205"/>
        <item x="123"/>
        <item x="252"/>
        <item x="258"/>
        <item x="19"/>
        <item x="173"/>
        <item x="63"/>
        <item x="126"/>
        <item x="97"/>
        <item x="236"/>
        <item x="168"/>
        <item x="201"/>
        <item x="265"/>
        <item x="100"/>
        <item x="95"/>
        <item x="239"/>
        <item x="31"/>
        <item x="183"/>
        <item x="124"/>
        <item x="65"/>
        <item x="230"/>
        <item x="102"/>
        <item x="235"/>
        <item x="269"/>
        <item x="49"/>
        <item x="67"/>
        <item x="70"/>
        <item x="0"/>
        <item x="1"/>
        <item x="195"/>
        <item x="76"/>
        <item x="247"/>
        <item x="38"/>
        <item x="231"/>
        <item x="229"/>
        <item x="87"/>
        <item x="57"/>
        <item x="139"/>
        <item x="27"/>
        <item x="214"/>
        <item x="244"/>
        <item x="156"/>
        <item x="121"/>
        <item x="187"/>
        <item x="43"/>
        <item x="99"/>
        <item x="267"/>
        <item x="75"/>
        <item x="179"/>
        <item x="177"/>
        <item x="78"/>
        <item x="6"/>
        <item x="266"/>
        <item x="174"/>
        <item x="26"/>
        <item x="145"/>
        <item x="132"/>
        <item x="2"/>
        <item x="219"/>
        <item x="259"/>
        <item x="50"/>
        <item x="37"/>
        <item x="249"/>
        <item x="250"/>
        <item x="80"/>
        <item x="212"/>
        <item x="112"/>
        <item x="18"/>
        <item x="203"/>
        <item x="150"/>
        <item x="93"/>
        <item x="263"/>
        <item x="151"/>
        <item x="98"/>
        <item x="130"/>
        <item x="204"/>
        <item x="85"/>
        <item x="196"/>
        <item x="227"/>
        <item x="83"/>
        <item x="181"/>
        <item x="5"/>
        <item x="234"/>
        <item x="96"/>
        <item x="13"/>
        <item x="90"/>
        <item x="61"/>
        <item x="273"/>
        <item x="271"/>
        <item x="109"/>
        <item x="108"/>
        <item x="193"/>
        <item x="101"/>
        <item x="72"/>
        <item x="141"/>
        <item x="207"/>
        <item x="194"/>
        <item x="154"/>
        <item x="58"/>
        <item x="153"/>
        <item x="189"/>
        <item x="245"/>
        <item x="169"/>
        <item x="86"/>
        <item t="default"/>
      </items>
    </pivotField>
    <pivotField showAll="0"/>
    <pivotField axis="axisRow" showAll="0">
      <items count="4">
        <item h="1" x="2"/>
        <item h="1" x="0"/>
        <item x="1"/>
        <item t="default"/>
      </items>
    </pivotField>
    <pivotField showAll="0"/>
    <pivotField showAll="0">
      <items count="11">
        <item h="1" x="3"/>
        <item h="1" x="7"/>
        <item h="1" x="9"/>
        <item h="1" x="6"/>
        <item h="1" x="4"/>
        <item h="1" x="8"/>
        <item h="1" x="1"/>
        <item h="1" x="5"/>
        <item h="1" x="0"/>
        <item x="2"/>
        <item t="default"/>
      </items>
    </pivotField>
    <pivotField showAll="0"/>
    <pivotField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2">
    <i>
      <x v="2"/>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F8B9452F-FA79-41E3-9203-5D149833D9E0}" sourceName="Months (Date)">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tabular pivotCacheId="1597427741">
      <items count="14">
        <i x="1"/>
        <i x="4"/>
        <i x="5" s="1"/>
        <i x="7"/>
        <i x="8"/>
        <i x="9"/>
        <i x="11"/>
        <i x="2" nd="1"/>
        <i x="3" nd="1"/>
        <i x="6" nd="1"/>
        <i x="10" nd="1"/>
        <i x="12" nd="1"/>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A7AE4D0-F124-4D73-AAE7-80D88D55A55C}" sourceName="City">
  <pivotTables>
    <pivotTable tabId="9" name="PivotTable1"/>
    <pivotTable tabId="8" name="PivotTable1"/>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9" name="PivotTable3"/>
    <pivotTable tabId="9" name="PivotTable4"/>
    <pivotTable tabId="9" name="PivotTable5"/>
  </pivotTables>
  <data>
    <tabular pivotCacheId="1597427741">
      <items count="10">
        <i x="3"/>
        <i x="7"/>
        <i x="9"/>
        <i x="6"/>
        <i x="4"/>
        <i x="8"/>
        <i x="1"/>
        <i x="5"/>
        <i x="0"/>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837FE64-E512-4E97-9446-EAAE4240927C}" sourceName="Category">
  <pivotTables>
    <pivotTable tabId="9" name="PivotTable1"/>
    <pivotTable tabId="8" name="PivotTable1"/>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9" name="PivotTable3"/>
    <pivotTable tabId="9" name="PivotTable4"/>
    <pivotTable tabId="9" name="PivotTable5"/>
  </pivotTables>
  <data>
    <tabular pivotCacheId="1597427741">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4D8BB0CF-BC7D-451A-B2E3-34E352CC9218}" cache="Slicer_Months__Date" caption="Months (Date)"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DDF6680-EBE7-4460-8620-4B5D46E467A6}" cache="Slicer_City" caption="City" startItem="3" rowHeight="234950"/>
  <slicer name="Category" xr10:uid="{B4E14CF5-15E7-4951-A4D4-D47474479D5D}"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9140CF11-E39B-47FF-8657-B7F535FB494D}" cache="Slicer_City" caption="City" rowHeight="234950"/>
  <slicer name="Category 1" xr10:uid="{D1753026-BC74-4CEB-9E1E-021DF0C41B39}"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D035C8-2E09-4DD0-9448-67BD96D3A544}" name="Table1" displayName="Table1" ref="A3:H67" totalsRowShown="0">
  <autoFilter ref="A3:H67" xr:uid="{66D035C8-2E09-4DD0-9448-67BD96D3A544}"/>
  <tableColumns count="8">
    <tableColumn id="1" xr3:uid="{F12D095F-3F28-44B4-8E25-C2FCE31E63BC}" name="Date" dataDxfId="4"/>
    <tableColumn id="2" xr3:uid="{6FB1DBFE-F108-4F2E-ACF4-F3186A59B898}" name="Product"/>
    <tableColumn id="3" xr3:uid="{6F57F2EC-3D73-4C82-A381-931C4F012E52}" name="Category"/>
    <tableColumn id="4" xr3:uid="{763A86E5-66FC-4B80-B0E5-1A8215F8ACA4}" name="Sales Rep"/>
    <tableColumn id="5" xr3:uid="{3B2438C4-561D-41C0-A917-D5DA4980475C}" name="City"/>
    <tableColumn id="6" xr3:uid="{B22E14C7-59CA-4AE8-B85D-7FA7D5EF366C}" name="No. of Units"/>
    <tableColumn id="7" xr3:uid="{9E52C0E8-541E-4B3D-BDDA-A8FB12DC4000}" name="Price"/>
    <tableColumn id="8" xr3:uid="{9F903997-0CCB-44EC-9B70-8E52FFB4D4A9}" name="Amou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D6B1E7-48A1-4CCE-A0BA-3C1D9ACDA8F5}" name="Table2" displayName="Table2" ref="A3:H51" totalsRowShown="0">
  <autoFilter ref="A3:H51" xr:uid="{C5D6B1E7-48A1-4CCE-A0BA-3C1D9ACDA8F5}"/>
  <tableColumns count="8">
    <tableColumn id="1" xr3:uid="{1B2FCE40-9033-48F4-8A82-500058BB79FA}" name="Date" dataDxfId="3"/>
    <tableColumn id="2" xr3:uid="{39A0CAD3-AF0D-4139-B4A9-EDCD0F067240}" name="Product"/>
    <tableColumn id="3" xr3:uid="{33540C38-AE80-419F-8705-2AEB77FE3F8B}" name="Category"/>
    <tableColumn id="4" xr3:uid="{812B5A9F-B325-488A-882B-8CFCA3453290}" name="Sales Rep"/>
    <tableColumn id="5" xr3:uid="{3E20FC64-0450-43E3-93C3-B15CE3D97C32}" name="City"/>
    <tableColumn id="6" xr3:uid="{0FD77922-D0E1-4EBA-97DB-2051F491F368}" name="No. of Units"/>
    <tableColumn id="7" xr3:uid="{9EB7FB1F-8CC4-4CAC-BD86-A5682E96E3BE}" name="Price"/>
    <tableColumn id="8" xr3:uid="{7E77CE3A-23F8-4E4D-A3CC-29E0F504E8C9}" name="Amount"/>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3B7C56-98FB-4AEC-9303-8495A31545EA}" name="Table3" displayName="Table3" ref="A3:H51" totalsRowShown="0">
  <autoFilter ref="A3:H51" xr:uid="{5B3B7C56-98FB-4AEC-9303-8495A31545EA}"/>
  <tableColumns count="8">
    <tableColumn id="1" xr3:uid="{F4DBC9B3-8CD6-4EFF-92AA-264FB8DEFF4B}" name="Date" dataDxfId="2"/>
    <tableColumn id="2" xr3:uid="{09E78734-6B7A-4D22-9EDF-69EE5E2C315D}" name="Product"/>
    <tableColumn id="3" xr3:uid="{6D1D2381-9D75-4120-8E97-37CE40EA06EC}" name="Category"/>
    <tableColumn id="4" xr3:uid="{C15C869F-BC4F-4E71-B924-08E44BA4C376}" name="Sales Rep"/>
    <tableColumn id="5" xr3:uid="{14EA8949-2E3C-4439-B9D9-BD552A8DC87D}" name="City"/>
    <tableColumn id="6" xr3:uid="{5EC1C0F0-4784-4D5A-9766-E83FF63D75E4}" name="No. of Units"/>
    <tableColumn id="7" xr3:uid="{430C4C6F-E4DE-45A0-8D68-36665F32946E}" name="Price"/>
    <tableColumn id="8" xr3:uid="{B5C2C5D5-39DA-40AD-93F6-BEA2D41B1FA6}" name="Amoun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5AF11F-EF58-4248-96CB-86941F78F50E}" name="Table4" displayName="Table4" ref="A3:H57" totalsRowShown="0">
  <autoFilter ref="A3:H57" xr:uid="{AB5AF11F-EF58-4248-96CB-86941F78F50E}"/>
  <tableColumns count="8">
    <tableColumn id="1" xr3:uid="{6806F38F-63D4-4710-84BA-508B8F8D3180}" name="Date" dataDxfId="1"/>
    <tableColumn id="2" xr3:uid="{50C8F9B2-CCA5-4692-82C7-03DE396D8671}" name="Product"/>
    <tableColumn id="3" xr3:uid="{A7D30609-CA8C-4335-9891-98777B8BB008}" name="Category"/>
    <tableColumn id="4" xr3:uid="{C19439A8-0265-482D-BFC4-F3816F31D70C}" name="Sales Rep"/>
    <tableColumn id="5" xr3:uid="{D7ABB371-1A35-43D3-9835-1D6C564624CF}" name="City"/>
    <tableColumn id="6" xr3:uid="{C47B8AA4-1C92-45F1-8358-7137715DBBE6}" name="No. of Units"/>
    <tableColumn id="7" xr3:uid="{FA1501E7-E264-4B37-A160-94C4B1102CE9}" name="Price"/>
    <tableColumn id="8" xr3:uid="{AC0586AC-6B2E-40D9-B1BD-DFE32034181F}" name="Amoun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589384C-78E4-4DAD-B913-1B7B847AEF98}" name="Table5" displayName="Table5" ref="A3:H46" totalsRowShown="0">
  <autoFilter ref="A3:H46" xr:uid="{0589384C-78E4-4DAD-B913-1B7B847AEF98}"/>
  <tableColumns count="8">
    <tableColumn id="1" xr3:uid="{E3910246-9FA2-490D-B3D9-9B8BA12FBD83}" name="Date" dataDxfId="0"/>
    <tableColumn id="2" xr3:uid="{E6963775-152D-4DC9-9232-406B71A7B62A}" name="Product"/>
    <tableColumn id="3" xr3:uid="{DBB6DD9E-0297-4AFE-A20F-48987CC822B4}" name="Category"/>
    <tableColumn id="4" xr3:uid="{921DFB59-F0DB-4D4C-8206-D02A2BBFFD5C}" name="Sales Rep"/>
    <tableColumn id="5" xr3:uid="{F5B1B228-C577-453D-A84B-9EBE700D6694}" name="City"/>
    <tableColumn id="6" xr3:uid="{C8EEDF0A-C8E0-44C2-BBE5-B0F67E40C945}" name="No. of Units"/>
    <tableColumn id="7" xr3:uid="{D7C4C938-CBED-4B40-A1CE-EC2239181D76}" name="Price"/>
    <tableColumn id="8" xr3:uid="{27D795B9-1392-4974-AE04-FACC0CCC2611}" name="Am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CC931-7BA6-4272-BF1A-2C7591CAA83C}">
  <dimension ref="A1:H67"/>
  <sheetViews>
    <sheetView workbookViewId="0">
      <selection activeCell="A3" sqref="A3:H67"/>
    </sheetView>
  </sheetViews>
  <sheetFormatPr defaultRowHeight="14.4" x14ac:dyDescent="0.3"/>
  <cols>
    <col min="1" max="1" width="10.33203125" bestFit="1" customWidth="1"/>
    <col min="2" max="2" width="16.77734375" bestFit="1" customWidth="1"/>
    <col min="3" max="3" width="10.77734375" bestFit="1" customWidth="1"/>
    <col min="4" max="4" width="11.109375" bestFit="1" customWidth="1"/>
    <col min="5" max="5" width="9" bestFit="1" customWidth="1"/>
    <col min="6" max="6" width="13.21875" bestFit="1" customWidth="1"/>
    <col min="7" max="7" width="9" bestFit="1" customWidth="1"/>
    <col min="8" max="8" width="10.109375" bestFit="1" customWidth="1"/>
  </cols>
  <sheetData>
    <row r="1" spans="1:8" x14ac:dyDescent="0.3">
      <c r="A1" s="5" t="s">
        <v>43</v>
      </c>
    </row>
    <row r="3" spans="1:8" x14ac:dyDescent="0.3">
      <c r="A3" t="s">
        <v>0</v>
      </c>
      <c r="B3" t="s">
        <v>1</v>
      </c>
      <c r="C3" t="s">
        <v>2</v>
      </c>
      <c r="D3" t="s">
        <v>3</v>
      </c>
      <c r="E3" t="s">
        <v>4</v>
      </c>
      <c r="F3" t="s">
        <v>5</v>
      </c>
      <c r="G3" t="s">
        <v>6</v>
      </c>
      <c r="H3" t="s">
        <v>7</v>
      </c>
    </row>
    <row r="4" spans="1:8" x14ac:dyDescent="0.3">
      <c r="A4" s="4">
        <v>44536</v>
      </c>
      <c r="B4" t="s">
        <v>25</v>
      </c>
      <c r="C4" t="s">
        <v>9</v>
      </c>
      <c r="D4" t="s">
        <v>14</v>
      </c>
      <c r="E4" t="s">
        <v>15</v>
      </c>
      <c r="F4">
        <v>21</v>
      </c>
      <c r="G4">
        <v>1500</v>
      </c>
      <c r="H4">
        <v>31500</v>
      </c>
    </row>
    <row r="5" spans="1:8" x14ac:dyDescent="0.3">
      <c r="A5" s="4">
        <v>44460</v>
      </c>
      <c r="B5" t="s">
        <v>12</v>
      </c>
      <c r="C5" t="s">
        <v>13</v>
      </c>
      <c r="D5" t="s">
        <v>14</v>
      </c>
      <c r="E5" t="s">
        <v>15</v>
      </c>
      <c r="F5">
        <v>43</v>
      </c>
      <c r="G5">
        <v>790</v>
      </c>
      <c r="H5">
        <v>33970</v>
      </c>
    </row>
    <row r="6" spans="1:8" x14ac:dyDescent="0.3">
      <c r="A6" s="4">
        <v>44498</v>
      </c>
      <c r="B6" t="s">
        <v>12</v>
      </c>
      <c r="C6" t="s">
        <v>13</v>
      </c>
      <c r="D6" t="s">
        <v>14</v>
      </c>
      <c r="E6" t="s">
        <v>15</v>
      </c>
      <c r="F6">
        <v>24</v>
      </c>
      <c r="G6">
        <v>790</v>
      </c>
      <c r="H6">
        <v>18960</v>
      </c>
    </row>
    <row r="7" spans="1:8" x14ac:dyDescent="0.3">
      <c r="A7" s="4">
        <v>44363</v>
      </c>
      <c r="B7" t="s">
        <v>36</v>
      </c>
      <c r="C7" t="s">
        <v>13</v>
      </c>
      <c r="D7" t="s">
        <v>14</v>
      </c>
      <c r="E7" t="s">
        <v>15</v>
      </c>
      <c r="F7">
        <v>15</v>
      </c>
      <c r="G7">
        <v>950</v>
      </c>
      <c r="H7">
        <v>14250</v>
      </c>
    </row>
    <row r="8" spans="1:8" x14ac:dyDescent="0.3">
      <c r="A8" s="4">
        <v>44325</v>
      </c>
      <c r="B8" t="s">
        <v>12</v>
      </c>
      <c r="C8" t="s">
        <v>13</v>
      </c>
      <c r="D8" t="s">
        <v>28</v>
      </c>
      <c r="E8" t="s">
        <v>15</v>
      </c>
      <c r="F8">
        <v>6</v>
      </c>
      <c r="G8">
        <v>790</v>
      </c>
      <c r="H8">
        <v>4740</v>
      </c>
    </row>
    <row r="9" spans="1:8" x14ac:dyDescent="0.3">
      <c r="A9" s="4">
        <v>44494</v>
      </c>
      <c r="B9" t="s">
        <v>8</v>
      </c>
      <c r="C9" t="s">
        <v>9</v>
      </c>
      <c r="D9" t="s">
        <v>38</v>
      </c>
      <c r="E9" t="s">
        <v>15</v>
      </c>
      <c r="F9">
        <v>3</v>
      </c>
      <c r="G9">
        <v>2001</v>
      </c>
      <c r="H9">
        <v>6003</v>
      </c>
    </row>
    <row r="10" spans="1:8" x14ac:dyDescent="0.3">
      <c r="A10" s="4">
        <v>44200</v>
      </c>
      <c r="B10" t="s">
        <v>25</v>
      </c>
      <c r="C10" t="s">
        <v>9</v>
      </c>
      <c r="D10" t="s">
        <v>21</v>
      </c>
      <c r="E10" t="s">
        <v>15</v>
      </c>
      <c r="F10">
        <v>41</v>
      </c>
      <c r="G10">
        <v>1500</v>
      </c>
      <c r="H10">
        <v>61500</v>
      </c>
    </row>
    <row r="11" spans="1:8" x14ac:dyDescent="0.3">
      <c r="A11" s="4">
        <v>44372</v>
      </c>
      <c r="B11" t="s">
        <v>20</v>
      </c>
      <c r="C11" t="s">
        <v>17</v>
      </c>
      <c r="D11" t="s">
        <v>39</v>
      </c>
      <c r="E11" t="s">
        <v>15</v>
      </c>
      <c r="F11">
        <v>14</v>
      </c>
      <c r="G11">
        <v>75</v>
      </c>
      <c r="H11">
        <v>1050</v>
      </c>
    </row>
    <row r="12" spans="1:8" x14ac:dyDescent="0.3">
      <c r="A12" s="4">
        <v>44530</v>
      </c>
      <c r="B12" t="s">
        <v>35</v>
      </c>
      <c r="C12" t="s">
        <v>13</v>
      </c>
      <c r="D12" t="s">
        <v>32</v>
      </c>
      <c r="E12" t="s">
        <v>15</v>
      </c>
      <c r="F12">
        <v>43</v>
      </c>
      <c r="G12">
        <v>1575</v>
      </c>
      <c r="H12">
        <v>67725</v>
      </c>
    </row>
    <row r="13" spans="1:8" x14ac:dyDescent="0.3">
      <c r="A13" s="4">
        <v>44301</v>
      </c>
      <c r="B13" t="s">
        <v>20</v>
      </c>
      <c r="C13" t="s">
        <v>17</v>
      </c>
      <c r="D13" t="s">
        <v>28</v>
      </c>
      <c r="E13" t="s">
        <v>15</v>
      </c>
      <c r="F13">
        <v>43</v>
      </c>
      <c r="G13">
        <v>75</v>
      </c>
      <c r="H13">
        <v>3225</v>
      </c>
    </row>
    <row r="14" spans="1:8" x14ac:dyDescent="0.3">
      <c r="A14" s="4">
        <v>44500</v>
      </c>
      <c r="B14" t="s">
        <v>8</v>
      </c>
      <c r="C14" t="s">
        <v>9</v>
      </c>
      <c r="D14" t="s">
        <v>32</v>
      </c>
      <c r="E14" t="s">
        <v>15</v>
      </c>
      <c r="F14">
        <v>25</v>
      </c>
      <c r="G14">
        <v>2001</v>
      </c>
      <c r="H14">
        <v>50025</v>
      </c>
    </row>
    <row r="15" spans="1:8" x14ac:dyDescent="0.3">
      <c r="A15" s="4">
        <v>44270</v>
      </c>
      <c r="B15" t="s">
        <v>25</v>
      </c>
      <c r="C15" t="s">
        <v>9</v>
      </c>
      <c r="D15" t="s">
        <v>32</v>
      </c>
      <c r="E15" t="s">
        <v>15</v>
      </c>
      <c r="F15">
        <v>13</v>
      </c>
      <c r="G15">
        <v>1500</v>
      </c>
      <c r="H15">
        <v>19500</v>
      </c>
    </row>
    <row r="16" spans="1:8" x14ac:dyDescent="0.3">
      <c r="A16" s="4">
        <v>44223</v>
      </c>
      <c r="B16" t="s">
        <v>20</v>
      </c>
      <c r="C16" t="s">
        <v>17</v>
      </c>
      <c r="D16" t="s">
        <v>21</v>
      </c>
      <c r="E16" t="s">
        <v>15</v>
      </c>
      <c r="F16">
        <v>47</v>
      </c>
      <c r="G16">
        <v>75</v>
      </c>
      <c r="H16">
        <v>3525</v>
      </c>
    </row>
    <row r="17" spans="1:8" x14ac:dyDescent="0.3">
      <c r="A17" s="4">
        <v>44512</v>
      </c>
      <c r="B17" t="s">
        <v>20</v>
      </c>
      <c r="C17" t="s">
        <v>17</v>
      </c>
      <c r="D17" t="s">
        <v>18</v>
      </c>
      <c r="E17" t="s">
        <v>15</v>
      </c>
      <c r="F17">
        <v>20</v>
      </c>
      <c r="G17">
        <v>75</v>
      </c>
      <c r="H17">
        <v>1500</v>
      </c>
    </row>
    <row r="18" spans="1:8" x14ac:dyDescent="0.3">
      <c r="A18" s="4">
        <v>44464</v>
      </c>
      <c r="B18" t="s">
        <v>33</v>
      </c>
      <c r="C18" t="s">
        <v>17</v>
      </c>
      <c r="D18" t="s">
        <v>32</v>
      </c>
      <c r="E18" t="s">
        <v>15</v>
      </c>
      <c r="F18">
        <v>32</v>
      </c>
      <c r="G18">
        <v>350</v>
      </c>
      <c r="H18">
        <v>11200</v>
      </c>
    </row>
    <row r="19" spans="1:8" x14ac:dyDescent="0.3">
      <c r="A19" s="4">
        <v>44551</v>
      </c>
      <c r="B19" t="s">
        <v>35</v>
      </c>
      <c r="C19" t="s">
        <v>13</v>
      </c>
      <c r="D19" t="s">
        <v>38</v>
      </c>
      <c r="E19" t="s">
        <v>15</v>
      </c>
      <c r="F19">
        <v>3</v>
      </c>
      <c r="G19">
        <v>1575</v>
      </c>
      <c r="H19">
        <v>4725</v>
      </c>
    </row>
    <row r="20" spans="1:8" x14ac:dyDescent="0.3">
      <c r="A20" s="4">
        <v>44426</v>
      </c>
      <c r="B20" t="s">
        <v>12</v>
      </c>
      <c r="C20" t="s">
        <v>13</v>
      </c>
      <c r="D20" t="s">
        <v>30</v>
      </c>
      <c r="E20" t="s">
        <v>15</v>
      </c>
      <c r="F20">
        <v>2</v>
      </c>
      <c r="G20">
        <v>790</v>
      </c>
      <c r="H20">
        <v>1580</v>
      </c>
    </row>
    <row r="21" spans="1:8" x14ac:dyDescent="0.3">
      <c r="A21" s="4">
        <v>44253</v>
      </c>
      <c r="B21" t="s">
        <v>20</v>
      </c>
      <c r="C21" t="s">
        <v>17</v>
      </c>
      <c r="D21" t="s">
        <v>30</v>
      </c>
      <c r="E21" t="s">
        <v>15</v>
      </c>
      <c r="F21">
        <v>4</v>
      </c>
      <c r="G21">
        <v>75</v>
      </c>
      <c r="H21">
        <v>300</v>
      </c>
    </row>
    <row r="22" spans="1:8" x14ac:dyDescent="0.3">
      <c r="A22" s="4">
        <v>44210</v>
      </c>
      <c r="B22" t="s">
        <v>25</v>
      </c>
      <c r="C22" t="s">
        <v>9</v>
      </c>
      <c r="D22" t="s">
        <v>39</v>
      </c>
      <c r="E22" t="s">
        <v>15</v>
      </c>
      <c r="F22">
        <v>34</v>
      </c>
      <c r="G22">
        <v>1500</v>
      </c>
      <c r="H22">
        <v>51000</v>
      </c>
    </row>
    <row r="23" spans="1:8" x14ac:dyDescent="0.3">
      <c r="A23" s="4">
        <v>44512</v>
      </c>
      <c r="B23" t="s">
        <v>12</v>
      </c>
      <c r="C23" t="s">
        <v>13</v>
      </c>
      <c r="D23" t="s">
        <v>14</v>
      </c>
      <c r="E23" t="s">
        <v>15</v>
      </c>
      <c r="F23">
        <v>21</v>
      </c>
      <c r="G23">
        <v>790</v>
      </c>
      <c r="H23">
        <v>16590</v>
      </c>
    </row>
    <row r="24" spans="1:8" x14ac:dyDescent="0.3">
      <c r="A24" s="4">
        <v>44531</v>
      </c>
      <c r="B24" t="s">
        <v>36</v>
      </c>
      <c r="C24" t="s">
        <v>13</v>
      </c>
      <c r="D24" t="s">
        <v>28</v>
      </c>
      <c r="E24" t="s">
        <v>15</v>
      </c>
      <c r="F24">
        <v>16</v>
      </c>
      <c r="G24">
        <v>950</v>
      </c>
      <c r="H24">
        <v>15200</v>
      </c>
    </row>
    <row r="25" spans="1:8" x14ac:dyDescent="0.3">
      <c r="A25" s="4">
        <v>44221</v>
      </c>
      <c r="B25" t="s">
        <v>20</v>
      </c>
      <c r="C25" t="s">
        <v>17</v>
      </c>
      <c r="D25" t="s">
        <v>38</v>
      </c>
      <c r="E25" t="s">
        <v>15</v>
      </c>
      <c r="F25">
        <v>46</v>
      </c>
      <c r="G25">
        <v>75</v>
      </c>
      <c r="H25">
        <v>3450</v>
      </c>
    </row>
    <row r="26" spans="1:8" x14ac:dyDescent="0.3">
      <c r="A26" s="4">
        <v>44282</v>
      </c>
      <c r="B26" t="s">
        <v>36</v>
      </c>
      <c r="C26" t="s">
        <v>13</v>
      </c>
      <c r="D26" t="s">
        <v>34</v>
      </c>
      <c r="E26" t="s">
        <v>15</v>
      </c>
      <c r="F26">
        <v>41</v>
      </c>
      <c r="G26">
        <v>950</v>
      </c>
      <c r="H26">
        <v>38950</v>
      </c>
    </row>
    <row r="27" spans="1:8" x14ac:dyDescent="0.3">
      <c r="A27" s="4">
        <v>44319</v>
      </c>
      <c r="B27" t="s">
        <v>8</v>
      </c>
      <c r="C27" t="s">
        <v>9</v>
      </c>
      <c r="D27" t="s">
        <v>30</v>
      </c>
      <c r="E27" t="s">
        <v>15</v>
      </c>
      <c r="F27">
        <v>30</v>
      </c>
      <c r="G27">
        <v>2001</v>
      </c>
      <c r="H27">
        <v>60030</v>
      </c>
    </row>
    <row r="28" spans="1:8" x14ac:dyDescent="0.3">
      <c r="A28" s="4">
        <v>44389</v>
      </c>
      <c r="B28" t="s">
        <v>16</v>
      </c>
      <c r="C28" t="s">
        <v>17</v>
      </c>
      <c r="D28" t="s">
        <v>34</v>
      </c>
      <c r="E28" t="s">
        <v>15</v>
      </c>
      <c r="F28">
        <v>13</v>
      </c>
      <c r="G28">
        <v>315</v>
      </c>
      <c r="H28">
        <v>4095</v>
      </c>
    </row>
    <row r="29" spans="1:8" x14ac:dyDescent="0.3">
      <c r="A29" s="4">
        <v>44376</v>
      </c>
      <c r="B29" t="s">
        <v>8</v>
      </c>
      <c r="C29" t="s">
        <v>9</v>
      </c>
      <c r="D29" t="s">
        <v>38</v>
      </c>
      <c r="E29" t="s">
        <v>15</v>
      </c>
      <c r="F29">
        <v>13</v>
      </c>
      <c r="G29">
        <v>2001</v>
      </c>
      <c r="H29">
        <v>26013</v>
      </c>
    </row>
    <row r="30" spans="1:8" x14ac:dyDescent="0.3">
      <c r="A30" s="4">
        <v>44345</v>
      </c>
      <c r="B30" t="s">
        <v>33</v>
      </c>
      <c r="C30" t="s">
        <v>17</v>
      </c>
      <c r="D30" t="s">
        <v>14</v>
      </c>
      <c r="E30" t="s">
        <v>15</v>
      </c>
      <c r="F30">
        <v>40</v>
      </c>
      <c r="G30">
        <v>350</v>
      </c>
      <c r="H30">
        <v>14000</v>
      </c>
    </row>
    <row r="31" spans="1:8" x14ac:dyDescent="0.3">
      <c r="A31" s="4">
        <v>44208</v>
      </c>
      <c r="B31" t="s">
        <v>8</v>
      </c>
      <c r="C31" t="s">
        <v>9</v>
      </c>
      <c r="D31" t="s">
        <v>28</v>
      </c>
      <c r="E31" t="s">
        <v>15</v>
      </c>
      <c r="F31">
        <v>17</v>
      </c>
      <c r="G31">
        <v>2001</v>
      </c>
      <c r="H31">
        <v>34017</v>
      </c>
    </row>
    <row r="32" spans="1:8" x14ac:dyDescent="0.3">
      <c r="A32" s="4">
        <v>44207</v>
      </c>
      <c r="B32" t="s">
        <v>8</v>
      </c>
      <c r="C32" t="s">
        <v>9</v>
      </c>
      <c r="D32" t="s">
        <v>30</v>
      </c>
      <c r="E32" t="s">
        <v>15</v>
      </c>
      <c r="F32">
        <v>1</v>
      </c>
      <c r="G32">
        <v>2001</v>
      </c>
      <c r="H32">
        <v>2001</v>
      </c>
    </row>
    <row r="33" spans="1:8" x14ac:dyDescent="0.3">
      <c r="A33" s="4">
        <v>44412</v>
      </c>
      <c r="B33" t="s">
        <v>35</v>
      </c>
      <c r="C33" t="s">
        <v>13</v>
      </c>
      <c r="D33" t="s">
        <v>38</v>
      </c>
      <c r="E33" t="s">
        <v>15</v>
      </c>
      <c r="F33">
        <v>34</v>
      </c>
      <c r="G33">
        <v>1575</v>
      </c>
      <c r="H33">
        <v>53550</v>
      </c>
    </row>
    <row r="34" spans="1:8" x14ac:dyDescent="0.3">
      <c r="A34" s="4">
        <v>44411</v>
      </c>
      <c r="B34" t="s">
        <v>33</v>
      </c>
      <c r="C34" t="s">
        <v>17</v>
      </c>
      <c r="D34" t="s">
        <v>30</v>
      </c>
      <c r="E34" t="s">
        <v>15</v>
      </c>
      <c r="F34">
        <v>49</v>
      </c>
      <c r="G34">
        <v>350</v>
      </c>
      <c r="H34">
        <v>17150</v>
      </c>
    </row>
    <row r="35" spans="1:8" x14ac:dyDescent="0.3">
      <c r="A35" s="4">
        <v>44442</v>
      </c>
      <c r="B35" t="s">
        <v>33</v>
      </c>
      <c r="C35" t="s">
        <v>17</v>
      </c>
      <c r="D35" t="s">
        <v>30</v>
      </c>
      <c r="E35" t="s">
        <v>15</v>
      </c>
      <c r="F35">
        <v>1</v>
      </c>
      <c r="G35">
        <v>350</v>
      </c>
      <c r="H35">
        <v>350</v>
      </c>
    </row>
    <row r="36" spans="1:8" x14ac:dyDescent="0.3">
      <c r="A36" s="4">
        <v>44546</v>
      </c>
      <c r="B36" t="s">
        <v>12</v>
      </c>
      <c r="C36" t="s">
        <v>13</v>
      </c>
      <c r="D36" t="s">
        <v>10</v>
      </c>
      <c r="E36" t="s">
        <v>15</v>
      </c>
      <c r="F36">
        <v>45</v>
      </c>
      <c r="G36">
        <v>790</v>
      </c>
      <c r="H36">
        <v>35550</v>
      </c>
    </row>
    <row r="37" spans="1:8" x14ac:dyDescent="0.3">
      <c r="A37" s="4">
        <v>44319</v>
      </c>
      <c r="B37" t="s">
        <v>22</v>
      </c>
      <c r="C37" t="s">
        <v>9</v>
      </c>
      <c r="D37" t="s">
        <v>39</v>
      </c>
      <c r="E37" t="s">
        <v>15</v>
      </c>
      <c r="F37">
        <v>25</v>
      </c>
      <c r="G37">
        <v>1080</v>
      </c>
      <c r="H37">
        <v>27000</v>
      </c>
    </row>
    <row r="38" spans="1:8" x14ac:dyDescent="0.3">
      <c r="A38" s="4">
        <v>44265</v>
      </c>
      <c r="B38" t="s">
        <v>20</v>
      </c>
      <c r="C38" t="s">
        <v>17</v>
      </c>
      <c r="D38" t="s">
        <v>21</v>
      </c>
      <c r="E38" t="s">
        <v>15</v>
      </c>
      <c r="F38">
        <v>3</v>
      </c>
      <c r="G38">
        <v>75</v>
      </c>
      <c r="H38">
        <v>225</v>
      </c>
    </row>
    <row r="39" spans="1:8" x14ac:dyDescent="0.3">
      <c r="A39" s="4">
        <v>44437</v>
      </c>
      <c r="B39" t="s">
        <v>25</v>
      </c>
      <c r="C39" t="s">
        <v>9</v>
      </c>
      <c r="D39" t="s">
        <v>39</v>
      </c>
      <c r="E39" t="s">
        <v>15</v>
      </c>
      <c r="F39">
        <v>15</v>
      </c>
      <c r="G39">
        <v>1500</v>
      </c>
      <c r="H39">
        <v>22500</v>
      </c>
    </row>
    <row r="40" spans="1:8" x14ac:dyDescent="0.3">
      <c r="A40" s="4">
        <v>44306</v>
      </c>
      <c r="B40" t="s">
        <v>16</v>
      </c>
      <c r="C40" t="s">
        <v>17</v>
      </c>
      <c r="D40" t="s">
        <v>21</v>
      </c>
      <c r="E40" t="s">
        <v>15</v>
      </c>
      <c r="F40">
        <v>13</v>
      </c>
      <c r="G40">
        <v>315</v>
      </c>
      <c r="H40">
        <v>4095</v>
      </c>
    </row>
    <row r="41" spans="1:8" x14ac:dyDescent="0.3">
      <c r="A41" s="4">
        <v>44461</v>
      </c>
      <c r="B41" t="s">
        <v>22</v>
      </c>
      <c r="C41" t="s">
        <v>9</v>
      </c>
      <c r="D41" t="s">
        <v>10</v>
      </c>
      <c r="E41" t="s">
        <v>15</v>
      </c>
      <c r="F41">
        <v>1</v>
      </c>
      <c r="G41">
        <v>1080</v>
      </c>
      <c r="H41">
        <v>1080</v>
      </c>
    </row>
    <row r="42" spans="1:8" x14ac:dyDescent="0.3">
      <c r="A42" s="4">
        <v>44549</v>
      </c>
      <c r="B42" t="s">
        <v>36</v>
      </c>
      <c r="C42" t="s">
        <v>13</v>
      </c>
      <c r="D42" t="s">
        <v>18</v>
      </c>
      <c r="E42" t="s">
        <v>15</v>
      </c>
      <c r="F42">
        <v>32</v>
      </c>
      <c r="G42">
        <v>950</v>
      </c>
      <c r="H42">
        <v>30400</v>
      </c>
    </row>
    <row r="43" spans="1:8" x14ac:dyDescent="0.3">
      <c r="A43" s="4">
        <v>44402</v>
      </c>
      <c r="B43" t="s">
        <v>33</v>
      </c>
      <c r="C43" t="s">
        <v>17</v>
      </c>
      <c r="D43" t="s">
        <v>28</v>
      </c>
      <c r="E43" t="s">
        <v>15</v>
      </c>
      <c r="F43">
        <v>11</v>
      </c>
      <c r="G43">
        <v>350</v>
      </c>
      <c r="H43">
        <v>3850</v>
      </c>
    </row>
    <row r="44" spans="1:8" x14ac:dyDescent="0.3">
      <c r="A44" s="4">
        <v>44541</v>
      </c>
      <c r="B44" t="s">
        <v>35</v>
      </c>
      <c r="C44" t="s">
        <v>13</v>
      </c>
      <c r="D44" t="s">
        <v>38</v>
      </c>
      <c r="E44" t="s">
        <v>15</v>
      </c>
      <c r="F44">
        <v>29</v>
      </c>
      <c r="G44">
        <v>1575</v>
      </c>
      <c r="H44">
        <v>45675</v>
      </c>
    </row>
    <row r="45" spans="1:8" x14ac:dyDescent="0.3">
      <c r="A45" s="4">
        <v>44369</v>
      </c>
      <c r="B45" t="s">
        <v>22</v>
      </c>
      <c r="C45" t="s">
        <v>9</v>
      </c>
      <c r="D45" t="s">
        <v>32</v>
      </c>
      <c r="E45" t="s">
        <v>15</v>
      </c>
      <c r="F45">
        <v>49</v>
      </c>
      <c r="G45">
        <v>1080</v>
      </c>
      <c r="H45">
        <v>52920</v>
      </c>
    </row>
    <row r="46" spans="1:8" x14ac:dyDescent="0.3">
      <c r="A46" s="4">
        <v>44316</v>
      </c>
      <c r="B46" t="s">
        <v>8</v>
      </c>
      <c r="C46" t="s">
        <v>9</v>
      </c>
      <c r="D46" t="s">
        <v>34</v>
      </c>
      <c r="E46" t="s">
        <v>15</v>
      </c>
      <c r="F46">
        <v>28</v>
      </c>
      <c r="G46">
        <v>2001</v>
      </c>
      <c r="H46">
        <v>56028</v>
      </c>
    </row>
    <row r="47" spans="1:8" x14ac:dyDescent="0.3">
      <c r="A47" s="4">
        <v>44270</v>
      </c>
      <c r="B47" t="s">
        <v>20</v>
      </c>
      <c r="C47" t="s">
        <v>17</v>
      </c>
      <c r="D47" t="s">
        <v>28</v>
      </c>
      <c r="E47" t="s">
        <v>15</v>
      </c>
      <c r="F47">
        <v>35</v>
      </c>
      <c r="G47">
        <v>75</v>
      </c>
      <c r="H47">
        <v>2625</v>
      </c>
    </row>
    <row r="48" spans="1:8" x14ac:dyDescent="0.3">
      <c r="A48" s="4">
        <v>44236</v>
      </c>
      <c r="B48" t="s">
        <v>36</v>
      </c>
      <c r="C48" t="s">
        <v>13</v>
      </c>
      <c r="D48" t="s">
        <v>28</v>
      </c>
      <c r="E48" t="s">
        <v>15</v>
      </c>
      <c r="F48">
        <v>4</v>
      </c>
      <c r="G48">
        <v>950</v>
      </c>
      <c r="H48">
        <v>3800</v>
      </c>
    </row>
    <row r="49" spans="1:8" x14ac:dyDescent="0.3">
      <c r="A49" s="4">
        <v>44343</v>
      </c>
      <c r="B49" t="s">
        <v>33</v>
      </c>
      <c r="C49" t="s">
        <v>17</v>
      </c>
      <c r="D49" t="s">
        <v>32</v>
      </c>
      <c r="E49" t="s">
        <v>15</v>
      </c>
      <c r="F49">
        <v>28</v>
      </c>
      <c r="G49">
        <v>350</v>
      </c>
      <c r="H49">
        <v>9800</v>
      </c>
    </row>
    <row r="50" spans="1:8" x14ac:dyDescent="0.3">
      <c r="A50" s="4">
        <v>44248</v>
      </c>
      <c r="B50" t="s">
        <v>8</v>
      </c>
      <c r="C50" t="s">
        <v>9</v>
      </c>
      <c r="D50" t="s">
        <v>30</v>
      </c>
      <c r="E50" t="s">
        <v>15</v>
      </c>
      <c r="F50">
        <v>35</v>
      </c>
      <c r="G50">
        <v>2001</v>
      </c>
      <c r="H50">
        <v>70035</v>
      </c>
    </row>
    <row r="51" spans="1:8" x14ac:dyDescent="0.3">
      <c r="A51" s="4">
        <v>44236</v>
      </c>
      <c r="B51" t="s">
        <v>33</v>
      </c>
      <c r="C51" t="s">
        <v>17</v>
      </c>
      <c r="D51" t="s">
        <v>10</v>
      </c>
      <c r="E51" t="s">
        <v>15</v>
      </c>
      <c r="F51">
        <v>23</v>
      </c>
      <c r="G51">
        <v>350</v>
      </c>
      <c r="H51">
        <v>8050</v>
      </c>
    </row>
    <row r="52" spans="1:8" x14ac:dyDescent="0.3">
      <c r="A52" s="4">
        <v>44406</v>
      </c>
      <c r="B52" t="s">
        <v>16</v>
      </c>
      <c r="C52" t="s">
        <v>17</v>
      </c>
      <c r="D52" t="s">
        <v>14</v>
      </c>
      <c r="E52" t="s">
        <v>15</v>
      </c>
      <c r="F52">
        <v>1</v>
      </c>
      <c r="G52">
        <v>315</v>
      </c>
      <c r="H52">
        <v>315</v>
      </c>
    </row>
    <row r="53" spans="1:8" x14ac:dyDescent="0.3">
      <c r="A53" s="4">
        <v>44323</v>
      </c>
      <c r="B53" t="s">
        <v>22</v>
      </c>
      <c r="C53" t="s">
        <v>9</v>
      </c>
      <c r="D53" t="s">
        <v>39</v>
      </c>
      <c r="E53" t="s">
        <v>15</v>
      </c>
      <c r="F53">
        <v>30</v>
      </c>
      <c r="G53">
        <v>1080</v>
      </c>
      <c r="H53">
        <v>32400</v>
      </c>
    </row>
    <row r="54" spans="1:8" x14ac:dyDescent="0.3">
      <c r="A54" s="4">
        <v>44311</v>
      </c>
      <c r="B54" t="s">
        <v>16</v>
      </c>
      <c r="C54" t="s">
        <v>17</v>
      </c>
      <c r="D54" t="s">
        <v>39</v>
      </c>
      <c r="E54" t="s">
        <v>15</v>
      </c>
      <c r="F54">
        <v>13</v>
      </c>
      <c r="G54">
        <v>315</v>
      </c>
      <c r="H54">
        <v>4095</v>
      </c>
    </row>
    <row r="55" spans="1:8" x14ac:dyDescent="0.3">
      <c r="A55" s="4">
        <v>44284</v>
      </c>
      <c r="B55" t="s">
        <v>20</v>
      </c>
      <c r="C55" t="s">
        <v>17</v>
      </c>
      <c r="D55" t="s">
        <v>10</v>
      </c>
      <c r="E55" t="s">
        <v>15</v>
      </c>
      <c r="F55">
        <v>35</v>
      </c>
      <c r="G55">
        <v>75</v>
      </c>
      <c r="H55">
        <v>2625</v>
      </c>
    </row>
    <row r="56" spans="1:8" x14ac:dyDescent="0.3">
      <c r="A56" s="4">
        <v>44275</v>
      </c>
      <c r="B56" t="s">
        <v>36</v>
      </c>
      <c r="C56" t="s">
        <v>13</v>
      </c>
      <c r="D56" t="s">
        <v>32</v>
      </c>
      <c r="E56" t="s">
        <v>15</v>
      </c>
      <c r="F56">
        <v>2</v>
      </c>
      <c r="G56">
        <v>950</v>
      </c>
      <c r="H56">
        <v>1900</v>
      </c>
    </row>
    <row r="57" spans="1:8" x14ac:dyDescent="0.3">
      <c r="A57" s="4">
        <v>44312</v>
      </c>
      <c r="B57" t="s">
        <v>35</v>
      </c>
      <c r="C57" t="s">
        <v>13</v>
      </c>
      <c r="D57" t="s">
        <v>38</v>
      </c>
      <c r="E57" t="s">
        <v>15</v>
      </c>
      <c r="F57">
        <v>2</v>
      </c>
      <c r="G57">
        <v>1575</v>
      </c>
      <c r="H57">
        <v>3150</v>
      </c>
    </row>
    <row r="58" spans="1:8" x14ac:dyDescent="0.3">
      <c r="A58" s="4">
        <v>44416</v>
      </c>
      <c r="B58" t="s">
        <v>35</v>
      </c>
      <c r="C58" t="s">
        <v>13</v>
      </c>
      <c r="D58" t="s">
        <v>39</v>
      </c>
      <c r="E58" t="s">
        <v>15</v>
      </c>
      <c r="F58">
        <v>12</v>
      </c>
      <c r="G58">
        <v>1575</v>
      </c>
      <c r="H58">
        <v>18900</v>
      </c>
    </row>
    <row r="59" spans="1:8" x14ac:dyDescent="0.3">
      <c r="A59" s="4">
        <v>44248</v>
      </c>
      <c r="B59" t="s">
        <v>36</v>
      </c>
      <c r="C59" t="s">
        <v>13</v>
      </c>
      <c r="D59" t="s">
        <v>28</v>
      </c>
      <c r="E59" t="s">
        <v>15</v>
      </c>
      <c r="F59">
        <v>32</v>
      </c>
      <c r="G59">
        <v>950</v>
      </c>
      <c r="H59">
        <v>30400</v>
      </c>
    </row>
    <row r="60" spans="1:8" x14ac:dyDescent="0.3">
      <c r="A60" s="4">
        <v>44202</v>
      </c>
      <c r="B60" t="s">
        <v>36</v>
      </c>
      <c r="C60" t="s">
        <v>13</v>
      </c>
      <c r="D60" t="s">
        <v>32</v>
      </c>
      <c r="E60" t="s">
        <v>15</v>
      </c>
      <c r="F60">
        <v>37</v>
      </c>
      <c r="G60">
        <v>950</v>
      </c>
      <c r="H60">
        <v>35150</v>
      </c>
    </row>
    <row r="61" spans="1:8" x14ac:dyDescent="0.3">
      <c r="A61" s="4">
        <v>44269</v>
      </c>
      <c r="B61" t="s">
        <v>36</v>
      </c>
      <c r="C61" t="s">
        <v>13</v>
      </c>
      <c r="D61" t="s">
        <v>32</v>
      </c>
      <c r="E61" t="s">
        <v>15</v>
      </c>
      <c r="F61">
        <v>19</v>
      </c>
      <c r="G61">
        <v>950</v>
      </c>
      <c r="H61">
        <v>18050</v>
      </c>
    </row>
    <row r="62" spans="1:8" x14ac:dyDescent="0.3">
      <c r="A62" s="4">
        <v>44328</v>
      </c>
      <c r="B62" t="s">
        <v>33</v>
      </c>
      <c r="C62" t="s">
        <v>17</v>
      </c>
      <c r="D62" t="s">
        <v>30</v>
      </c>
      <c r="E62" t="s">
        <v>15</v>
      </c>
      <c r="F62">
        <v>49</v>
      </c>
      <c r="G62">
        <v>350</v>
      </c>
      <c r="H62">
        <v>17150</v>
      </c>
    </row>
    <row r="63" spans="1:8" x14ac:dyDescent="0.3">
      <c r="A63" s="4">
        <v>44264</v>
      </c>
      <c r="B63" t="s">
        <v>22</v>
      </c>
      <c r="C63" t="s">
        <v>9</v>
      </c>
      <c r="D63" t="s">
        <v>21</v>
      </c>
      <c r="E63" t="s">
        <v>15</v>
      </c>
      <c r="F63">
        <v>41</v>
      </c>
      <c r="G63">
        <v>1080</v>
      </c>
      <c r="H63">
        <v>44280</v>
      </c>
    </row>
    <row r="64" spans="1:8" x14ac:dyDescent="0.3">
      <c r="A64" s="4">
        <v>44297</v>
      </c>
      <c r="B64" t="s">
        <v>35</v>
      </c>
      <c r="C64" t="s">
        <v>13</v>
      </c>
      <c r="D64" t="s">
        <v>28</v>
      </c>
      <c r="E64" t="s">
        <v>15</v>
      </c>
      <c r="F64">
        <v>18</v>
      </c>
      <c r="G64">
        <v>1575</v>
      </c>
      <c r="H64">
        <v>28350</v>
      </c>
    </row>
    <row r="65" spans="1:8" x14ac:dyDescent="0.3">
      <c r="A65" s="4">
        <v>44284</v>
      </c>
      <c r="B65" t="s">
        <v>8</v>
      </c>
      <c r="C65" t="s">
        <v>9</v>
      </c>
      <c r="D65" t="s">
        <v>32</v>
      </c>
      <c r="E65" t="s">
        <v>15</v>
      </c>
      <c r="F65">
        <v>6</v>
      </c>
      <c r="G65">
        <v>2001</v>
      </c>
      <c r="H65">
        <v>12006</v>
      </c>
    </row>
    <row r="66" spans="1:8" x14ac:dyDescent="0.3">
      <c r="A66" s="4">
        <v>44388</v>
      </c>
      <c r="B66" t="s">
        <v>35</v>
      </c>
      <c r="C66" t="s">
        <v>13</v>
      </c>
      <c r="D66" t="s">
        <v>21</v>
      </c>
      <c r="E66" t="s">
        <v>15</v>
      </c>
      <c r="F66">
        <v>45</v>
      </c>
      <c r="G66">
        <v>1575</v>
      </c>
      <c r="H66">
        <v>70875</v>
      </c>
    </row>
    <row r="67" spans="1:8" x14ac:dyDescent="0.3">
      <c r="A67" s="4">
        <v>44432</v>
      </c>
      <c r="B67" t="s">
        <v>8</v>
      </c>
      <c r="C67" t="s">
        <v>9</v>
      </c>
      <c r="D67" t="s">
        <v>34</v>
      </c>
      <c r="E67" t="s">
        <v>15</v>
      </c>
      <c r="F67">
        <v>33</v>
      </c>
      <c r="G67">
        <v>2001</v>
      </c>
      <c r="H67">
        <v>66033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17866-F01A-42ED-9638-EC73EA02A307}">
  <dimension ref="A1:H51"/>
  <sheetViews>
    <sheetView workbookViewId="0">
      <selection activeCell="A3" sqref="A3:H51"/>
    </sheetView>
  </sheetViews>
  <sheetFormatPr defaultRowHeight="14.4" x14ac:dyDescent="0.3"/>
  <cols>
    <col min="1" max="1" width="10.33203125" bestFit="1" customWidth="1"/>
    <col min="2" max="2" width="16.77734375" bestFit="1" customWidth="1"/>
    <col min="3" max="3" width="10.77734375" bestFit="1" customWidth="1"/>
    <col min="4" max="4" width="11.109375" bestFit="1" customWidth="1"/>
    <col min="5" max="5" width="9" bestFit="1" customWidth="1"/>
    <col min="6" max="6" width="13.21875" bestFit="1" customWidth="1"/>
    <col min="7" max="7" width="9" bestFit="1" customWidth="1"/>
    <col min="8" max="8" width="10.109375" bestFit="1" customWidth="1"/>
  </cols>
  <sheetData>
    <row r="1" spans="1:8" x14ac:dyDescent="0.3">
      <c r="A1" s="5" t="s">
        <v>44</v>
      </c>
    </row>
    <row r="3" spans="1:8" x14ac:dyDescent="0.3">
      <c r="A3" t="s">
        <v>0</v>
      </c>
      <c r="B3" t="s">
        <v>1</v>
      </c>
      <c r="C3" t="s">
        <v>2</v>
      </c>
      <c r="D3" t="s">
        <v>3</v>
      </c>
      <c r="E3" t="s">
        <v>4</v>
      </c>
      <c r="F3" t="s">
        <v>5</v>
      </c>
      <c r="G3" t="s">
        <v>6</v>
      </c>
      <c r="H3" t="s">
        <v>7</v>
      </c>
    </row>
    <row r="4" spans="1:8" x14ac:dyDescent="0.3">
      <c r="A4" s="4">
        <v>44541</v>
      </c>
      <c r="B4" t="s">
        <v>8</v>
      </c>
      <c r="C4" t="s">
        <v>9</v>
      </c>
      <c r="D4" t="s">
        <v>34</v>
      </c>
      <c r="E4" t="s">
        <v>24</v>
      </c>
      <c r="F4">
        <v>7</v>
      </c>
      <c r="G4">
        <v>2001</v>
      </c>
      <c r="H4">
        <v>14007</v>
      </c>
    </row>
    <row r="5" spans="1:8" x14ac:dyDescent="0.3">
      <c r="A5" s="4">
        <v>44259</v>
      </c>
      <c r="B5" t="s">
        <v>16</v>
      </c>
      <c r="C5" t="s">
        <v>17</v>
      </c>
      <c r="D5" t="s">
        <v>18</v>
      </c>
      <c r="E5" t="s">
        <v>24</v>
      </c>
      <c r="F5">
        <v>10</v>
      </c>
      <c r="G5">
        <v>315</v>
      </c>
      <c r="H5">
        <v>3150</v>
      </c>
    </row>
    <row r="6" spans="1:8" x14ac:dyDescent="0.3">
      <c r="A6" s="4">
        <v>44209</v>
      </c>
      <c r="B6" t="s">
        <v>35</v>
      </c>
      <c r="C6" t="s">
        <v>13</v>
      </c>
      <c r="D6" t="s">
        <v>34</v>
      </c>
      <c r="E6" t="s">
        <v>24</v>
      </c>
      <c r="F6">
        <v>17</v>
      </c>
      <c r="G6">
        <v>1575</v>
      </c>
      <c r="H6">
        <v>26775</v>
      </c>
    </row>
    <row r="7" spans="1:8" x14ac:dyDescent="0.3">
      <c r="A7" s="4">
        <v>44496</v>
      </c>
      <c r="B7" t="s">
        <v>35</v>
      </c>
      <c r="C7" t="s">
        <v>13</v>
      </c>
      <c r="D7" t="s">
        <v>28</v>
      </c>
      <c r="E7" t="s">
        <v>24</v>
      </c>
      <c r="F7">
        <v>44</v>
      </c>
      <c r="G7">
        <v>1575</v>
      </c>
      <c r="H7">
        <v>69300</v>
      </c>
    </row>
    <row r="8" spans="1:8" x14ac:dyDescent="0.3">
      <c r="A8" s="4">
        <v>44343</v>
      </c>
      <c r="B8" t="s">
        <v>36</v>
      </c>
      <c r="C8" t="s">
        <v>13</v>
      </c>
      <c r="D8" t="s">
        <v>30</v>
      </c>
      <c r="E8" t="s">
        <v>24</v>
      </c>
      <c r="F8">
        <v>33</v>
      </c>
      <c r="G8">
        <v>950</v>
      </c>
      <c r="H8">
        <v>31350</v>
      </c>
    </row>
    <row r="9" spans="1:8" x14ac:dyDescent="0.3">
      <c r="A9" s="4">
        <v>44504</v>
      </c>
      <c r="B9" t="s">
        <v>20</v>
      </c>
      <c r="C9" t="s">
        <v>17</v>
      </c>
      <c r="D9" t="s">
        <v>32</v>
      </c>
      <c r="E9" t="s">
        <v>24</v>
      </c>
      <c r="F9">
        <v>23</v>
      </c>
      <c r="G9">
        <v>75</v>
      </c>
      <c r="H9">
        <v>1725</v>
      </c>
    </row>
    <row r="10" spans="1:8" x14ac:dyDescent="0.3">
      <c r="A10" s="4">
        <v>44491</v>
      </c>
      <c r="B10" t="s">
        <v>16</v>
      </c>
      <c r="C10" t="s">
        <v>17</v>
      </c>
      <c r="D10" t="s">
        <v>21</v>
      </c>
      <c r="E10" t="s">
        <v>24</v>
      </c>
      <c r="F10">
        <v>50</v>
      </c>
      <c r="G10">
        <v>315</v>
      </c>
      <c r="H10">
        <v>15750</v>
      </c>
    </row>
    <row r="11" spans="1:8" x14ac:dyDescent="0.3">
      <c r="A11" s="4">
        <v>44559</v>
      </c>
      <c r="B11" t="s">
        <v>35</v>
      </c>
      <c r="C11" t="s">
        <v>13</v>
      </c>
      <c r="D11" t="s">
        <v>28</v>
      </c>
      <c r="E11" t="s">
        <v>24</v>
      </c>
      <c r="F11">
        <v>39</v>
      </c>
      <c r="G11">
        <v>1575</v>
      </c>
      <c r="H11">
        <v>61425</v>
      </c>
    </row>
    <row r="12" spans="1:8" x14ac:dyDescent="0.3">
      <c r="A12" s="4">
        <v>44210</v>
      </c>
      <c r="B12" t="s">
        <v>8</v>
      </c>
      <c r="C12" t="s">
        <v>9</v>
      </c>
      <c r="D12" t="s">
        <v>28</v>
      </c>
      <c r="E12" t="s">
        <v>24</v>
      </c>
      <c r="F12">
        <v>43</v>
      </c>
      <c r="G12">
        <v>2001</v>
      </c>
      <c r="H12">
        <v>86043</v>
      </c>
    </row>
    <row r="13" spans="1:8" x14ac:dyDescent="0.3">
      <c r="A13" s="4">
        <v>44382</v>
      </c>
      <c r="B13" t="s">
        <v>36</v>
      </c>
      <c r="C13" t="s">
        <v>13</v>
      </c>
      <c r="D13" t="s">
        <v>10</v>
      </c>
      <c r="E13" t="s">
        <v>24</v>
      </c>
      <c r="F13">
        <v>15</v>
      </c>
      <c r="G13">
        <v>950</v>
      </c>
      <c r="H13">
        <v>14250</v>
      </c>
    </row>
    <row r="14" spans="1:8" x14ac:dyDescent="0.3">
      <c r="A14" s="4">
        <v>44377</v>
      </c>
      <c r="B14" t="s">
        <v>12</v>
      </c>
      <c r="C14" t="s">
        <v>13</v>
      </c>
      <c r="D14" t="s">
        <v>39</v>
      </c>
      <c r="E14" t="s">
        <v>24</v>
      </c>
      <c r="F14">
        <v>3</v>
      </c>
      <c r="G14">
        <v>790</v>
      </c>
      <c r="H14">
        <v>2370</v>
      </c>
    </row>
    <row r="15" spans="1:8" x14ac:dyDescent="0.3">
      <c r="A15" s="4">
        <v>44477</v>
      </c>
      <c r="B15" t="s">
        <v>35</v>
      </c>
      <c r="C15" t="s">
        <v>13</v>
      </c>
      <c r="D15" t="s">
        <v>14</v>
      </c>
      <c r="E15" t="s">
        <v>24</v>
      </c>
      <c r="F15">
        <v>7</v>
      </c>
      <c r="G15">
        <v>1575</v>
      </c>
      <c r="H15">
        <v>11025</v>
      </c>
    </row>
    <row r="16" spans="1:8" x14ac:dyDescent="0.3">
      <c r="A16" s="4">
        <v>44507</v>
      </c>
      <c r="B16" t="s">
        <v>33</v>
      </c>
      <c r="C16" t="s">
        <v>17</v>
      </c>
      <c r="D16" t="s">
        <v>30</v>
      </c>
      <c r="E16" t="s">
        <v>24</v>
      </c>
      <c r="F16">
        <v>8</v>
      </c>
      <c r="G16">
        <v>350</v>
      </c>
      <c r="H16">
        <v>2800</v>
      </c>
    </row>
    <row r="17" spans="1:8" x14ac:dyDescent="0.3">
      <c r="A17" s="4">
        <v>44422</v>
      </c>
      <c r="B17" t="s">
        <v>12</v>
      </c>
      <c r="C17" t="s">
        <v>13</v>
      </c>
      <c r="D17" t="s">
        <v>32</v>
      </c>
      <c r="E17" t="s">
        <v>24</v>
      </c>
      <c r="F17">
        <v>12</v>
      </c>
      <c r="G17">
        <v>790</v>
      </c>
      <c r="H17">
        <v>9480</v>
      </c>
    </row>
    <row r="18" spans="1:8" x14ac:dyDescent="0.3">
      <c r="A18" s="4">
        <v>44286</v>
      </c>
      <c r="B18" t="s">
        <v>8</v>
      </c>
      <c r="C18" t="s">
        <v>9</v>
      </c>
      <c r="D18" t="s">
        <v>14</v>
      </c>
      <c r="E18" t="s">
        <v>24</v>
      </c>
      <c r="F18">
        <v>29</v>
      </c>
      <c r="G18">
        <v>2001</v>
      </c>
      <c r="H18">
        <v>58029</v>
      </c>
    </row>
    <row r="19" spans="1:8" x14ac:dyDescent="0.3">
      <c r="A19" s="4">
        <v>44513</v>
      </c>
      <c r="B19" t="s">
        <v>36</v>
      </c>
      <c r="C19" t="s">
        <v>13</v>
      </c>
      <c r="D19" t="s">
        <v>10</v>
      </c>
      <c r="E19" t="s">
        <v>24</v>
      </c>
      <c r="F19">
        <v>16</v>
      </c>
      <c r="G19">
        <v>950</v>
      </c>
      <c r="H19">
        <v>15200</v>
      </c>
    </row>
    <row r="20" spans="1:8" x14ac:dyDescent="0.3">
      <c r="A20" s="4">
        <v>44259</v>
      </c>
      <c r="B20" t="s">
        <v>33</v>
      </c>
      <c r="C20" t="s">
        <v>17</v>
      </c>
      <c r="D20" t="s">
        <v>32</v>
      </c>
      <c r="E20" t="s">
        <v>24</v>
      </c>
      <c r="F20">
        <v>5</v>
      </c>
      <c r="G20">
        <v>350</v>
      </c>
      <c r="H20">
        <v>1750</v>
      </c>
    </row>
    <row r="21" spans="1:8" x14ac:dyDescent="0.3">
      <c r="A21" s="4">
        <v>44197</v>
      </c>
      <c r="B21" t="s">
        <v>22</v>
      </c>
      <c r="C21" t="s">
        <v>9</v>
      </c>
      <c r="D21" t="s">
        <v>28</v>
      </c>
      <c r="E21" t="s">
        <v>24</v>
      </c>
      <c r="F21">
        <v>45</v>
      </c>
      <c r="G21">
        <v>1080</v>
      </c>
      <c r="H21">
        <v>48600</v>
      </c>
    </row>
    <row r="22" spans="1:8" x14ac:dyDescent="0.3">
      <c r="A22" s="4">
        <v>44313</v>
      </c>
      <c r="B22" t="s">
        <v>36</v>
      </c>
      <c r="C22" t="s">
        <v>13</v>
      </c>
      <c r="D22" t="s">
        <v>30</v>
      </c>
      <c r="E22" t="s">
        <v>24</v>
      </c>
      <c r="F22">
        <v>25</v>
      </c>
      <c r="G22">
        <v>950</v>
      </c>
      <c r="H22">
        <v>23750</v>
      </c>
    </row>
    <row r="23" spans="1:8" x14ac:dyDescent="0.3">
      <c r="A23" s="4">
        <v>44428</v>
      </c>
      <c r="B23" t="s">
        <v>33</v>
      </c>
      <c r="C23" t="s">
        <v>17</v>
      </c>
      <c r="D23" t="s">
        <v>18</v>
      </c>
      <c r="E23" t="s">
        <v>24</v>
      </c>
      <c r="F23">
        <v>31</v>
      </c>
      <c r="G23">
        <v>350</v>
      </c>
      <c r="H23">
        <v>10850</v>
      </c>
    </row>
    <row r="24" spans="1:8" x14ac:dyDescent="0.3">
      <c r="A24" s="4">
        <v>44331</v>
      </c>
      <c r="B24" t="s">
        <v>22</v>
      </c>
      <c r="C24" t="s">
        <v>9</v>
      </c>
      <c r="D24" t="s">
        <v>34</v>
      </c>
      <c r="E24" t="s">
        <v>24</v>
      </c>
      <c r="F24">
        <v>2</v>
      </c>
      <c r="G24">
        <v>1080</v>
      </c>
      <c r="H24">
        <v>2160</v>
      </c>
    </row>
    <row r="25" spans="1:8" x14ac:dyDescent="0.3">
      <c r="A25" s="4">
        <v>44488</v>
      </c>
      <c r="B25" t="s">
        <v>35</v>
      </c>
      <c r="C25" t="s">
        <v>13</v>
      </c>
      <c r="D25" t="s">
        <v>10</v>
      </c>
      <c r="E25" t="s">
        <v>24</v>
      </c>
      <c r="F25">
        <v>15</v>
      </c>
      <c r="G25">
        <v>1575</v>
      </c>
      <c r="H25">
        <v>23625</v>
      </c>
    </row>
    <row r="26" spans="1:8" x14ac:dyDescent="0.3">
      <c r="A26" s="4">
        <v>44326</v>
      </c>
      <c r="B26" t="s">
        <v>25</v>
      </c>
      <c r="C26" t="s">
        <v>9</v>
      </c>
      <c r="D26" t="s">
        <v>34</v>
      </c>
      <c r="E26" t="s">
        <v>24</v>
      </c>
      <c r="F26">
        <v>39</v>
      </c>
      <c r="G26">
        <v>1500</v>
      </c>
      <c r="H26">
        <v>58500</v>
      </c>
    </row>
    <row r="27" spans="1:8" x14ac:dyDescent="0.3">
      <c r="A27" s="4">
        <v>44493</v>
      </c>
      <c r="B27" t="s">
        <v>36</v>
      </c>
      <c r="C27" t="s">
        <v>13</v>
      </c>
      <c r="D27" t="s">
        <v>34</v>
      </c>
      <c r="E27" t="s">
        <v>24</v>
      </c>
      <c r="F27">
        <v>14</v>
      </c>
      <c r="G27">
        <v>950</v>
      </c>
      <c r="H27">
        <v>13300</v>
      </c>
    </row>
    <row r="28" spans="1:8" x14ac:dyDescent="0.3">
      <c r="A28" s="4">
        <v>44560</v>
      </c>
      <c r="B28" t="s">
        <v>16</v>
      </c>
      <c r="C28" t="s">
        <v>17</v>
      </c>
      <c r="D28" t="s">
        <v>30</v>
      </c>
      <c r="E28" t="s">
        <v>24</v>
      </c>
      <c r="F28">
        <v>33</v>
      </c>
      <c r="G28">
        <v>315</v>
      </c>
      <c r="H28">
        <v>10395</v>
      </c>
    </row>
    <row r="29" spans="1:8" x14ac:dyDescent="0.3">
      <c r="A29" s="4">
        <v>44278</v>
      </c>
      <c r="B29" t="s">
        <v>12</v>
      </c>
      <c r="C29" t="s">
        <v>13</v>
      </c>
      <c r="D29" t="s">
        <v>32</v>
      </c>
      <c r="E29" t="s">
        <v>24</v>
      </c>
      <c r="F29">
        <v>5</v>
      </c>
      <c r="G29">
        <v>790</v>
      </c>
      <c r="H29">
        <v>3950</v>
      </c>
    </row>
    <row r="30" spans="1:8" x14ac:dyDescent="0.3">
      <c r="A30" s="4">
        <v>44360</v>
      </c>
      <c r="B30" t="s">
        <v>16</v>
      </c>
      <c r="C30" t="s">
        <v>17</v>
      </c>
      <c r="D30" t="s">
        <v>28</v>
      </c>
      <c r="E30" t="s">
        <v>24</v>
      </c>
      <c r="F30">
        <v>32</v>
      </c>
      <c r="G30">
        <v>315</v>
      </c>
      <c r="H30">
        <v>10080</v>
      </c>
    </row>
    <row r="31" spans="1:8" x14ac:dyDescent="0.3">
      <c r="A31" s="4">
        <v>44474</v>
      </c>
      <c r="B31" t="s">
        <v>8</v>
      </c>
      <c r="C31" t="s">
        <v>9</v>
      </c>
      <c r="D31" t="s">
        <v>32</v>
      </c>
      <c r="E31" t="s">
        <v>24</v>
      </c>
      <c r="F31">
        <v>25</v>
      </c>
      <c r="G31">
        <v>2001</v>
      </c>
      <c r="H31">
        <v>50025</v>
      </c>
    </row>
    <row r="32" spans="1:8" x14ac:dyDescent="0.3">
      <c r="A32" s="4">
        <v>44477</v>
      </c>
      <c r="B32" t="s">
        <v>12</v>
      </c>
      <c r="C32" t="s">
        <v>13</v>
      </c>
      <c r="D32" t="s">
        <v>21</v>
      </c>
      <c r="E32" t="s">
        <v>24</v>
      </c>
      <c r="F32">
        <v>32</v>
      </c>
      <c r="G32">
        <v>790</v>
      </c>
      <c r="H32">
        <v>25280</v>
      </c>
    </row>
    <row r="33" spans="1:8" x14ac:dyDescent="0.3">
      <c r="A33" s="4">
        <v>44282</v>
      </c>
      <c r="B33" t="s">
        <v>33</v>
      </c>
      <c r="C33" t="s">
        <v>17</v>
      </c>
      <c r="D33" t="s">
        <v>32</v>
      </c>
      <c r="E33" t="s">
        <v>24</v>
      </c>
      <c r="F33">
        <v>27</v>
      </c>
      <c r="G33">
        <v>350</v>
      </c>
      <c r="H33">
        <v>9450</v>
      </c>
    </row>
    <row r="34" spans="1:8" x14ac:dyDescent="0.3">
      <c r="A34" s="4">
        <v>44292</v>
      </c>
      <c r="B34" t="s">
        <v>25</v>
      </c>
      <c r="C34" t="s">
        <v>9</v>
      </c>
      <c r="D34" t="s">
        <v>32</v>
      </c>
      <c r="E34" t="s">
        <v>24</v>
      </c>
      <c r="F34">
        <v>20</v>
      </c>
      <c r="G34">
        <v>1500</v>
      </c>
      <c r="H34">
        <v>30000</v>
      </c>
    </row>
    <row r="35" spans="1:8" x14ac:dyDescent="0.3">
      <c r="A35" s="4">
        <v>44433</v>
      </c>
      <c r="B35" t="s">
        <v>20</v>
      </c>
      <c r="C35" t="s">
        <v>17</v>
      </c>
      <c r="D35" t="s">
        <v>39</v>
      </c>
      <c r="E35" t="s">
        <v>24</v>
      </c>
      <c r="F35">
        <v>24</v>
      </c>
      <c r="G35">
        <v>75</v>
      </c>
      <c r="H35">
        <v>1800</v>
      </c>
    </row>
    <row r="36" spans="1:8" x14ac:dyDescent="0.3">
      <c r="A36" s="4">
        <v>44363</v>
      </c>
      <c r="B36" t="s">
        <v>35</v>
      </c>
      <c r="C36" t="s">
        <v>13</v>
      </c>
      <c r="D36" t="s">
        <v>10</v>
      </c>
      <c r="E36" t="s">
        <v>24</v>
      </c>
      <c r="F36">
        <v>22</v>
      </c>
      <c r="G36">
        <v>1575</v>
      </c>
      <c r="H36">
        <v>34650</v>
      </c>
    </row>
    <row r="37" spans="1:8" x14ac:dyDescent="0.3">
      <c r="A37" s="4">
        <v>44258</v>
      </c>
      <c r="B37" t="s">
        <v>25</v>
      </c>
      <c r="C37" t="s">
        <v>9</v>
      </c>
      <c r="D37" t="s">
        <v>34</v>
      </c>
      <c r="E37" t="s">
        <v>24</v>
      </c>
      <c r="F37">
        <v>42</v>
      </c>
      <c r="G37">
        <v>1500</v>
      </c>
      <c r="H37">
        <v>63000</v>
      </c>
    </row>
    <row r="38" spans="1:8" x14ac:dyDescent="0.3">
      <c r="A38" s="4">
        <v>44384</v>
      </c>
      <c r="B38" t="s">
        <v>36</v>
      </c>
      <c r="C38" t="s">
        <v>13</v>
      </c>
      <c r="D38" t="s">
        <v>18</v>
      </c>
      <c r="E38" t="s">
        <v>24</v>
      </c>
      <c r="F38">
        <v>38</v>
      </c>
      <c r="G38">
        <v>950</v>
      </c>
      <c r="H38">
        <v>36100</v>
      </c>
    </row>
    <row r="39" spans="1:8" x14ac:dyDescent="0.3">
      <c r="A39" s="4">
        <v>44473</v>
      </c>
      <c r="B39" t="s">
        <v>8</v>
      </c>
      <c r="C39" t="s">
        <v>9</v>
      </c>
      <c r="D39" t="s">
        <v>39</v>
      </c>
      <c r="E39" t="s">
        <v>24</v>
      </c>
      <c r="F39">
        <v>21</v>
      </c>
      <c r="G39">
        <v>2001</v>
      </c>
      <c r="H39">
        <v>42021</v>
      </c>
    </row>
    <row r="40" spans="1:8" x14ac:dyDescent="0.3">
      <c r="A40" s="4">
        <v>44247</v>
      </c>
      <c r="B40" t="s">
        <v>16</v>
      </c>
      <c r="C40" t="s">
        <v>17</v>
      </c>
      <c r="D40" t="s">
        <v>28</v>
      </c>
      <c r="E40" t="s">
        <v>24</v>
      </c>
      <c r="F40">
        <v>1</v>
      </c>
      <c r="G40">
        <v>315</v>
      </c>
      <c r="H40">
        <v>315</v>
      </c>
    </row>
    <row r="41" spans="1:8" x14ac:dyDescent="0.3">
      <c r="A41" s="4">
        <v>44520</v>
      </c>
      <c r="B41" t="s">
        <v>22</v>
      </c>
      <c r="C41" t="s">
        <v>9</v>
      </c>
      <c r="D41" t="s">
        <v>38</v>
      </c>
      <c r="E41" t="s">
        <v>24</v>
      </c>
      <c r="F41">
        <v>6</v>
      </c>
      <c r="G41">
        <v>1080</v>
      </c>
      <c r="H41">
        <v>6480</v>
      </c>
    </row>
    <row r="42" spans="1:8" x14ac:dyDescent="0.3">
      <c r="A42" s="4">
        <v>44389</v>
      </c>
      <c r="B42" t="s">
        <v>33</v>
      </c>
      <c r="C42" t="s">
        <v>17</v>
      </c>
      <c r="D42" t="s">
        <v>34</v>
      </c>
      <c r="E42" t="s">
        <v>24</v>
      </c>
      <c r="F42">
        <v>35</v>
      </c>
      <c r="G42">
        <v>350</v>
      </c>
      <c r="H42">
        <v>12250</v>
      </c>
    </row>
    <row r="43" spans="1:8" x14ac:dyDescent="0.3">
      <c r="A43" s="4">
        <v>44433</v>
      </c>
      <c r="B43" t="s">
        <v>12</v>
      </c>
      <c r="C43" t="s">
        <v>13</v>
      </c>
      <c r="D43" t="s">
        <v>38</v>
      </c>
      <c r="E43" t="s">
        <v>24</v>
      </c>
      <c r="F43">
        <v>36</v>
      </c>
      <c r="G43">
        <v>790</v>
      </c>
      <c r="H43">
        <v>28440</v>
      </c>
    </row>
    <row r="44" spans="1:8" x14ac:dyDescent="0.3">
      <c r="A44" s="4">
        <v>44410</v>
      </c>
      <c r="B44" t="s">
        <v>35</v>
      </c>
      <c r="C44" t="s">
        <v>13</v>
      </c>
      <c r="D44" t="s">
        <v>18</v>
      </c>
      <c r="E44" t="s">
        <v>24</v>
      </c>
      <c r="F44">
        <v>29</v>
      </c>
      <c r="G44">
        <v>1575</v>
      </c>
      <c r="H44">
        <v>45675</v>
      </c>
    </row>
    <row r="45" spans="1:8" x14ac:dyDescent="0.3">
      <c r="A45" s="4">
        <v>44417</v>
      </c>
      <c r="B45" t="s">
        <v>36</v>
      </c>
      <c r="C45" t="s">
        <v>13</v>
      </c>
      <c r="D45" t="s">
        <v>34</v>
      </c>
      <c r="E45" t="s">
        <v>24</v>
      </c>
      <c r="F45">
        <v>30</v>
      </c>
      <c r="G45">
        <v>950</v>
      </c>
      <c r="H45">
        <v>28500</v>
      </c>
    </row>
    <row r="46" spans="1:8" x14ac:dyDescent="0.3">
      <c r="A46" s="4">
        <v>44201</v>
      </c>
      <c r="B46" t="s">
        <v>33</v>
      </c>
      <c r="C46" t="s">
        <v>17</v>
      </c>
      <c r="D46" t="s">
        <v>39</v>
      </c>
      <c r="E46" t="s">
        <v>24</v>
      </c>
      <c r="F46">
        <v>50</v>
      </c>
      <c r="G46">
        <v>350</v>
      </c>
      <c r="H46">
        <v>17500</v>
      </c>
    </row>
    <row r="47" spans="1:8" x14ac:dyDescent="0.3">
      <c r="A47" s="4">
        <v>44203</v>
      </c>
      <c r="B47" t="s">
        <v>22</v>
      </c>
      <c r="C47" t="s">
        <v>9</v>
      </c>
      <c r="D47" t="s">
        <v>18</v>
      </c>
      <c r="E47" t="s">
        <v>24</v>
      </c>
      <c r="F47">
        <v>10</v>
      </c>
      <c r="G47">
        <v>1080</v>
      </c>
      <c r="H47">
        <v>10800</v>
      </c>
    </row>
    <row r="48" spans="1:8" x14ac:dyDescent="0.3">
      <c r="A48" s="4">
        <v>44484</v>
      </c>
      <c r="B48" t="s">
        <v>8</v>
      </c>
      <c r="C48" t="s">
        <v>9</v>
      </c>
      <c r="D48" t="s">
        <v>21</v>
      </c>
      <c r="E48" t="s">
        <v>24</v>
      </c>
      <c r="F48">
        <v>12</v>
      </c>
      <c r="G48">
        <v>2001</v>
      </c>
      <c r="H48">
        <v>24012</v>
      </c>
    </row>
    <row r="49" spans="1:8" x14ac:dyDescent="0.3">
      <c r="A49" s="4">
        <v>44543</v>
      </c>
      <c r="B49" t="s">
        <v>16</v>
      </c>
      <c r="C49" t="s">
        <v>17</v>
      </c>
      <c r="D49" t="s">
        <v>32</v>
      </c>
      <c r="E49" t="s">
        <v>24</v>
      </c>
      <c r="F49">
        <v>31</v>
      </c>
      <c r="G49">
        <v>315</v>
      </c>
      <c r="H49">
        <v>9765</v>
      </c>
    </row>
    <row r="50" spans="1:8" x14ac:dyDescent="0.3">
      <c r="A50" s="4">
        <v>44328</v>
      </c>
      <c r="B50" t="s">
        <v>20</v>
      </c>
      <c r="C50" t="s">
        <v>17</v>
      </c>
      <c r="D50" t="s">
        <v>32</v>
      </c>
      <c r="E50" t="s">
        <v>24</v>
      </c>
      <c r="F50">
        <v>23</v>
      </c>
      <c r="G50">
        <v>75</v>
      </c>
      <c r="H50">
        <v>1725</v>
      </c>
    </row>
    <row r="51" spans="1:8" x14ac:dyDescent="0.3">
      <c r="A51" s="4">
        <v>44243</v>
      </c>
      <c r="B51" t="s">
        <v>36</v>
      </c>
      <c r="C51" t="s">
        <v>13</v>
      </c>
      <c r="D51" t="s">
        <v>30</v>
      </c>
      <c r="E51" t="s">
        <v>24</v>
      </c>
      <c r="F51">
        <v>38</v>
      </c>
      <c r="G51">
        <v>950</v>
      </c>
      <c r="H51">
        <v>36100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2CAA4-A88B-4BF5-A321-15237CC48E81}">
  <dimension ref="A1:H51"/>
  <sheetViews>
    <sheetView topLeftCell="A4" workbookViewId="0">
      <selection activeCell="A3" sqref="A3:H51"/>
    </sheetView>
  </sheetViews>
  <sheetFormatPr defaultRowHeight="14.4" x14ac:dyDescent="0.3"/>
  <cols>
    <col min="1" max="1" width="10.33203125" bestFit="1" customWidth="1"/>
    <col min="2" max="2" width="16.77734375" bestFit="1" customWidth="1"/>
    <col min="3" max="3" width="10.77734375" bestFit="1" customWidth="1"/>
    <col min="4" max="4" width="11.109375" bestFit="1" customWidth="1"/>
    <col min="5" max="5" width="9" bestFit="1" customWidth="1"/>
    <col min="6" max="6" width="13.21875" bestFit="1" customWidth="1"/>
    <col min="7" max="7" width="9" bestFit="1" customWidth="1"/>
    <col min="8" max="8" width="10.109375" bestFit="1" customWidth="1"/>
  </cols>
  <sheetData>
    <row r="1" spans="1:8" x14ac:dyDescent="0.3">
      <c r="A1" s="5" t="s">
        <v>46</v>
      </c>
    </row>
    <row r="3" spans="1:8" x14ac:dyDescent="0.3">
      <c r="A3" t="s">
        <v>0</v>
      </c>
      <c r="B3" t="s">
        <v>1</v>
      </c>
      <c r="C3" t="s">
        <v>2</v>
      </c>
      <c r="D3" t="s">
        <v>3</v>
      </c>
      <c r="E3" t="s">
        <v>4</v>
      </c>
      <c r="F3" t="s">
        <v>5</v>
      </c>
      <c r="G3" t="s">
        <v>6</v>
      </c>
      <c r="H3" t="s">
        <v>7</v>
      </c>
    </row>
    <row r="4" spans="1:8" x14ac:dyDescent="0.3">
      <c r="A4" s="4">
        <v>44278</v>
      </c>
      <c r="B4" t="s">
        <v>20</v>
      </c>
      <c r="C4" t="s">
        <v>17</v>
      </c>
      <c r="D4" t="s">
        <v>32</v>
      </c>
      <c r="E4" t="s">
        <v>37</v>
      </c>
      <c r="F4">
        <v>38</v>
      </c>
      <c r="G4">
        <v>75</v>
      </c>
      <c r="H4">
        <v>2850</v>
      </c>
    </row>
    <row r="5" spans="1:8" x14ac:dyDescent="0.3">
      <c r="A5" s="4">
        <v>44537</v>
      </c>
      <c r="B5" t="s">
        <v>25</v>
      </c>
      <c r="C5" t="s">
        <v>9</v>
      </c>
      <c r="D5" t="s">
        <v>39</v>
      </c>
      <c r="E5" t="s">
        <v>37</v>
      </c>
      <c r="F5">
        <v>26</v>
      </c>
      <c r="G5">
        <v>1500</v>
      </c>
      <c r="H5">
        <v>39000</v>
      </c>
    </row>
    <row r="6" spans="1:8" x14ac:dyDescent="0.3">
      <c r="A6" s="4">
        <v>44356</v>
      </c>
      <c r="B6" t="s">
        <v>22</v>
      </c>
      <c r="C6" t="s">
        <v>9</v>
      </c>
      <c r="D6" t="s">
        <v>14</v>
      </c>
      <c r="E6" t="s">
        <v>37</v>
      </c>
      <c r="F6">
        <v>47</v>
      </c>
      <c r="G6">
        <v>1080</v>
      </c>
      <c r="H6">
        <v>50760</v>
      </c>
    </row>
    <row r="7" spans="1:8" x14ac:dyDescent="0.3">
      <c r="A7" s="4">
        <v>44348</v>
      </c>
      <c r="B7" t="s">
        <v>12</v>
      </c>
      <c r="C7" t="s">
        <v>13</v>
      </c>
      <c r="D7" t="s">
        <v>34</v>
      </c>
      <c r="E7" t="s">
        <v>37</v>
      </c>
      <c r="F7">
        <v>38</v>
      </c>
      <c r="G7">
        <v>790</v>
      </c>
      <c r="H7">
        <v>30020</v>
      </c>
    </row>
    <row r="8" spans="1:8" x14ac:dyDescent="0.3">
      <c r="A8" s="4">
        <v>44348</v>
      </c>
      <c r="B8" t="s">
        <v>36</v>
      </c>
      <c r="C8" t="s">
        <v>13</v>
      </c>
      <c r="D8" t="s">
        <v>28</v>
      </c>
      <c r="E8" t="s">
        <v>37</v>
      </c>
      <c r="F8">
        <v>40</v>
      </c>
      <c r="G8">
        <v>950</v>
      </c>
      <c r="H8">
        <v>38000</v>
      </c>
    </row>
    <row r="9" spans="1:8" x14ac:dyDescent="0.3">
      <c r="A9" s="4">
        <v>44415</v>
      </c>
      <c r="B9" t="s">
        <v>20</v>
      </c>
      <c r="C9" t="s">
        <v>17</v>
      </c>
      <c r="D9" t="s">
        <v>18</v>
      </c>
      <c r="E9" t="s">
        <v>37</v>
      </c>
      <c r="F9">
        <v>31</v>
      </c>
      <c r="G9">
        <v>75</v>
      </c>
      <c r="H9">
        <v>2325</v>
      </c>
    </row>
    <row r="10" spans="1:8" x14ac:dyDescent="0.3">
      <c r="A10" s="4">
        <v>44428</v>
      </c>
      <c r="B10" t="s">
        <v>12</v>
      </c>
      <c r="C10" t="s">
        <v>13</v>
      </c>
      <c r="D10" t="s">
        <v>39</v>
      </c>
      <c r="E10" t="s">
        <v>37</v>
      </c>
      <c r="F10">
        <v>31</v>
      </c>
      <c r="G10">
        <v>790</v>
      </c>
      <c r="H10">
        <v>24490</v>
      </c>
    </row>
    <row r="11" spans="1:8" x14ac:dyDescent="0.3">
      <c r="A11" s="4">
        <v>44313</v>
      </c>
      <c r="B11" t="s">
        <v>12</v>
      </c>
      <c r="C11" t="s">
        <v>13</v>
      </c>
      <c r="D11" t="s">
        <v>18</v>
      </c>
      <c r="E11" t="s">
        <v>37</v>
      </c>
      <c r="F11">
        <v>38</v>
      </c>
      <c r="G11">
        <v>790</v>
      </c>
      <c r="H11">
        <v>30020</v>
      </c>
    </row>
    <row r="12" spans="1:8" x14ac:dyDescent="0.3">
      <c r="A12" s="4">
        <v>44307</v>
      </c>
      <c r="B12" t="s">
        <v>20</v>
      </c>
      <c r="C12" t="s">
        <v>17</v>
      </c>
      <c r="D12" t="s">
        <v>38</v>
      </c>
      <c r="E12" t="s">
        <v>37</v>
      </c>
      <c r="F12">
        <v>23</v>
      </c>
      <c r="G12">
        <v>75</v>
      </c>
      <c r="H12">
        <v>1725</v>
      </c>
    </row>
    <row r="13" spans="1:8" x14ac:dyDescent="0.3">
      <c r="A13" s="4">
        <v>44418</v>
      </c>
      <c r="B13" t="s">
        <v>33</v>
      </c>
      <c r="C13" t="s">
        <v>17</v>
      </c>
      <c r="D13" t="s">
        <v>18</v>
      </c>
      <c r="E13" t="s">
        <v>37</v>
      </c>
      <c r="F13">
        <v>14</v>
      </c>
      <c r="G13">
        <v>350</v>
      </c>
      <c r="H13">
        <v>4900</v>
      </c>
    </row>
    <row r="14" spans="1:8" x14ac:dyDescent="0.3">
      <c r="A14" s="4">
        <v>44306</v>
      </c>
      <c r="B14" t="s">
        <v>25</v>
      </c>
      <c r="C14" t="s">
        <v>9</v>
      </c>
      <c r="D14" t="s">
        <v>38</v>
      </c>
      <c r="E14" t="s">
        <v>37</v>
      </c>
      <c r="F14">
        <v>7</v>
      </c>
      <c r="G14">
        <v>1500</v>
      </c>
      <c r="H14">
        <v>10500</v>
      </c>
    </row>
    <row r="15" spans="1:8" x14ac:dyDescent="0.3">
      <c r="A15" s="4">
        <v>44456</v>
      </c>
      <c r="B15" t="s">
        <v>22</v>
      </c>
      <c r="C15" t="s">
        <v>9</v>
      </c>
      <c r="D15" t="s">
        <v>34</v>
      </c>
      <c r="E15" t="s">
        <v>37</v>
      </c>
      <c r="F15">
        <v>46</v>
      </c>
      <c r="G15">
        <v>1080</v>
      </c>
      <c r="H15">
        <v>49680</v>
      </c>
    </row>
    <row r="16" spans="1:8" x14ac:dyDescent="0.3">
      <c r="A16" s="4">
        <v>44217</v>
      </c>
      <c r="B16" t="s">
        <v>35</v>
      </c>
      <c r="C16" t="s">
        <v>13</v>
      </c>
      <c r="D16" t="s">
        <v>38</v>
      </c>
      <c r="E16" t="s">
        <v>37</v>
      </c>
      <c r="F16">
        <v>43</v>
      </c>
      <c r="G16">
        <v>1575</v>
      </c>
      <c r="H16">
        <v>67725</v>
      </c>
    </row>
    <row r="17" spans="1:8" x14ac:dyDescent="0.3">
      <c r="A17" s="4">
        <v>44235</v>
      </c>
      <c r="B17" t="s">
        <v>22</v>
      </c>
      <c r="C17" t="s">
        <v>9</v>
      </c>
      <c r="D17" t="s">
        <v>10</v>
      </c>
      <c r="E17" t="s">
        <v>37</v>
      </c>
      <c r="F17">
        <v>16</v>
      </c>
      <c r="G17">
        <v>1080</v>
      </c>
      <c r="H17">
        <v>17280</v>
      </c>
    </row>
    <row r="18" spans="1:8" x14ac:dyDescent="0.3">
      <c r="A18" s="4">
        <v>44252</v>
      </c>
      <c r="B18" t="s">
        <v>35</v>
      </c>
      <c r="C18" t="s">
        <v>13</v>
      </c>
      <c r="D18" t="s">
        <v>32</v>
      </c>
      <c r="E18" t="s">
        <v>37</v>
      </c>
      <c r="F18">
        <v>25</v>
      </c>
      <c r="G18">
        <v>1575</v>
      </c>
      <c r="H18">
        <v>39375</v>
      </c>
    </row>
    <row r="19" spans="1:8" x14ac:dyDescent="0.3">
      <c r="A19" s="4">
        <v>44507</v>
      </c>
      <c r="B19" t="s">
        <v>33</v>
      </c>
      <c r="C19" t="s">
        <v>17</v>
      </c>
      <c r="D19" t="s">
        <v>14</v>
      </c>
      <c r="E19" t="s">
        <v>37</v>
      </c>
      <c r="F19">
        <v>14</v>
      </c>
      <c r="G19">
        <v>350</v>
      </c>
      <c r="H19">
        <v>4900</v>
      </c>
    </row>
    <row r="20" spans="1:8" x14ac:dyDescent="0.3">
      <c r="A20" s="4">
        <v>44253</v>
      </c>
      <c r="B20" t="s">
        <v>25</v>
      </c>
      <c r="C20" t="s">
        <v>9</v>
      </c>
      <c r="D20" t="s">
        <v>32</v>
      </c>
      <c r="E20" t="s">
        <v>37</v>
      </c>
      <c r="F20">
        <v>43</v>
      </c>
      <c r="G20">
        <v>1500</v>
      </c>
      <c r="H20">
        <v>64500</v>
      </c>
    </row>
    <row r="21" spans="1:8" x14ac:dyDescent="0.3">
      <c r="A21" s="4">
        <v>44529</v>
      </c>
      <c r="B21" t="s">
        <v>8</v>
      </c>
      <c r="C21" t="s">
        <v>9</v>
      </c>
      <c r="D21" t="s">
        <v>32</v>
      </c>
      <c r="E21" t="s">
        <v>37</v>
      </c>
      <c r="F21">
        <v>34</v>
      </c>
      <c r="G21">
        <v>2001</v>
      </c>
      <c r="H21">
        <v>68034</v>
      </c>
    </row>
    <row r="22" spans="1:8" x14ac:dyDescent="0.3">
      <c r="A22" s="4">
        <v>44243</v>
      </c>
      <c r="B22" t="s">
        <v>8</v>
      </c>
      <c r="C22" t="s">
        <v>9</v>
      </c>
      <c r="D22" t="s">
        <v>10</v>
      </c>
      <c r="E22" t="s">
        <v>37</v>
      </c>
      <c r="F22">
        <v>38</v>
      </c>
      <c r="G22">
        <v>2001</v>
      </c>
      <c r="H22">
        <v>76038</v>
      </c>
    </row>
    <row r="23" spans="1:8" x14ac:dyDescent="0.3">
      <c r="A23" s="4">
        <v>44524</v>
      </c>
      <c r="B23" t="s">
        <v>22</v>
      </c>
      <c r="C23" t="s">
        <v>9</v>
      </c>
      <c r="D23" t="s">
        <v>14</v>
      </c>
      <c r="E23" t="s">
        <v>37</v>
      </c>
      <c r="F23">
        <v>26</v>
      </c>
      <c r="G23">
        <v>1080</v>
      </c>
      <c r="H23">
        <v>28080</v>
      </c>
    </row>
    <row r="24" spans="1:8" x14ac:dyDescent="0.3">
      <c r="A24" s="4">
        <v>44428</v>
      </c>
      <c r="B24" t="s">
        <v>12</v>
      </c>
      <c r="C24" t="s">
        <v>13</v>
      </c>
      <c r="D24" t="s">
        <v>32</v>
      </c>
      <c r="E24" t="s">
        <v>37</v>
      </c>
      <c r="F24">
        <v>10</v>
      </c>
      <c r="G24">
        <v>790</v>
      </c>
      <c r="H24">
        <v>7900</v>
      </c>
    </row>
    <row r="25" spans="1:8" x14ac:dyDescent="0.3">
      <c r="A25" s="4">
        <v>44203</v>
      </c>
      <c r="B25" t="s">
        <v>36</v>
      </c>
      <c r="C25" t="s">
        <v>13</v>
      </c>
      <c r="D25" t="s">
        <v>39</v>
      </c>
      <c r="E25" t="s">
        <v>37</v>
      </c>
      <c r="F25">
        <v>49</v>
      </c>
      <c r="G25">
        <v>950</v>
      </c>
      <c r="H25">
        <v>46550</v>
      </c>
    </row>
    <row r="26" spans="1:8" x14ac:dyDescent="0.3">
      <c r="A26" s="4">
        <v>44521</v>
      </c>
      <c r="B26" t="s">
        <v>12</v>
      </c>
      <c r="C26" t="s">
        <v>13</v>
      </c>
      <c r="D26" t="s">
        <v>10</v>
      </c>
      <c r="E26" t="s">
        <v>37</v>
      </c>
      <c r="F26">
        <v>46</v>
      </c>
      <c r="G26">
        <v>790</v>
      </c>
      <c r="H26">
        <v>36340</v>
      </c>
    </row>
    <row r="27" spans="1:8" x14ac:dyDescent="0.3">
      <c r="A27" s="4">
        <v>44333</v>
      </c>
      <c r="B27" t="s">
        <v>36</v>
      </c>
      <c r="C27" t="s">
        <v>13</v>
      </c>
      <c r="D27" t="s">
        <v>34</v>
      </c>
      <c r="E27" t="s">
        <v>37</v>
      </c>
      <c r="F27">
        <v>10</v>
      </c>
      <c r="G27">
        <v>950</v>
      </c>
      <c r="H27">
        <v>9500</v>
      </c>
    </row>
    <row r="28" spans="1:8" x14ac:dyDescent="0.3">
      <c r="A28" s="4">
        <v>44412</v>
      </c>
      <c r="B28" t="s">
        <v>35</v>
      </c>
      <c r="C28" t="s">
        <v>13</v>
      </c>
      <c r="D28" t="s">
        <v>39</v>
      </c>
      <c r="E28" t="s">
        <v>37</v>
      </c>
      <c r="F28">
        <v>13</v>
      </c>
      <c r="G28">
        <v>1575</v>
      </c>
      <c r="H28">
        <v>20475</v>
      </c>
    </row>
    <row r="29" spans="1:8" x14ac:dyDescent="0.3">
      <c r="A29" s="4">
        <v>44532</v>
      </c>
      <c r="B29" t="s">
        <v>22</v>
      </c>
      <c r="C29" t="s">
        <v>9</v>
      </c>
      <c r="D29" t="s">
        <v>34</v>
      </c>
      <c r="E29" t="s">
        <v>37</v>
      </c>
      <c r="F29">
        <v>40</v>
      </c>
      <c r="G29">
        <v>1080</v>
      </c>
      <c r="H29">
        <v>43200</v>
      </c>
    </row>
    <row r="30" spans="1:8" x14ac:dyDescent="0.3">
      <c r="A30" s="4">
        <v>44494</v>
      </c>
      <c r="B30" t="s">
        <v>35</v>
      </c>
      <c r="C30" t="s">
        <v>13</v>
      </c>
      <c r="D30" t="s">
        <v>21</v>
      </c>
      <c r="E30" t="s">
        <v>37</v>
      </c>
      <c r="F30">
        <v>26</v>
      </c>
      <c r="G30">
        <v>1575</v>
      </c>
      <c r="H30">
        <v>40950</v>
      </c>
    </row>
    <row r="31" spans="1:8" x14ac:dyDescent="0.3">
      <c r="A31" s="4">
        <v>44420</v>
      </c>
      <c r="B31" t="s">
        <v>35</v>
      </c>
      <c r="C31" t="s">
        <v>13</v>
      </c>
      <c r="D31" t="s">
        <v>30</v>
      </c>
      <c r="E31" t="s">
        <v>37</v>
      </c>
      <c r="F31">
        <v>9</v>
      </c>
      <c r="G31">
        <v>1575</v>
      </c>
      <c r="H31">
        <v>14175</v>
      </c>
    </row>
    <row r="32" spans="1:8" x14ac:dyDescent="0.3">
      <c r="A32" s="4">
        <v>44197</v>
      </c>
      <c r="B32" t="s">
        <v>16</v>
      </c>
      <c r="C32" t="s">
        <v>17</v>
      </c>
      <c r="D32" t="s">
        <v>34</v>
      </c>
      <c r="E32" t="s">
        <v>37</v>
      </c>
      <c r="F32">
        <v>46</v>
      </c>
      <c r="G32">
        <v>315</v>
      </c>
      <c r="H32">
        <v>14490</v>
      </c>
    </row>
    <row r="33" spans="1:8" x14ac:dyDescent="0.3">
      <c r="A33" s="4">
        <v>44299</v>
      </c>
      <c r="B33" t="s">
        <v>20</v>
      </c>
      <c r="C33" t="s">
        <v>17</v>
      </c>
      <c r="D33" t="s">
        <v>28</v>
      </c>
      <c r="E33" t="s">
        <v>37</v>
      </c>
      <c r="F33">
        <v>20</v>
      </c>
      <c r="G33">
        <v>75</v>
      </c>
      <c r="H33">
        <v>1500</v>
      </c>
    </row>
    <row r="34" spans="1:8" x14ac:dyDescent="0.3">
      <c r="A34" s="4">
        <v>44481</v>
      </c>
      <c r="B34" t="s">
        <v>22</v>
      </c>
      <c r="C34" t="s">
        <v>9</v>
      </c>
      <c r="D34" t="s">
        <v>14</v>
      </c>
      <c r="E34" t="s">
        <v>37</v>
      </c>
      <c r="F34">
        <v>41</v>
      </c>
      <c r="G34">
        <v>1080</v>
      </c>
      <c r="H34">
        <v>44280</v>
      </c>
    </row>
    <row r="35" spans="1:8" x14ac:dyDescent="0.3">
      <c r="A35" s="4">
        <v>44463</v>
      </c>
      <c r="B35" t="s">
        <v>12</v>
      </c>
      <c r="C35" t="s">
        <v>13</v>
      </c>
      <c r="D35" t="s">
        <v>30</v>
      </c>
      <c r="E35" t="s">
        <v>37</v>
      </c>
      <c r="F35">
        <v>17</v>
      </c>
      <c r="G35">
        <v>790</v>
      </c>
      <c r="H35">
        <v>13430</v>
      </c>
    </row>
    <row r="36" spans="1:8" x14ac:dyDescent="0.3">
      <c r="A36" s="4">
        <v>44416</v>
      </c>
      <c r="B36" t="s">
        <v>16</v>
      </c>
      <c r="C36" t="s">
        <v>17</v>
      </c>
      <c r="D36" t="s">
        <v>28</v>
      </c>
      <c r="E36" t="s">
        <v>37</v>
      </c>
      <c r="F36">
        <v>20</v>
      </c>
      <c r="G36">
        <v>315</v>
      </c>
      <c r="H36">
        <v>6300</v>
      </c>
    </row>
    <row r="37" spans="1:8" x14ac:dyDescent="0.3">
      <c r="A37" s="4">
        <v>44289</v>
      </c>
      <c r="B37" t="s">
        <v>8</v>
      </c>
      <c r="C37" t="s">
        <v>9</v>
      </c>
      <c r="D37" t="s">
        <v>39</v>
      </c>
      <c r="E37" t="s">
        <v>37</v>
      </c>
      <c r="F37">
        <v>38</v>
      </c>
      <c r="G37">
        <v>2001</v>
      </c>
      <c r="H37">
        <v>76038</v>
      </c>
    </row>
    <row r="38" spans="1:8" x14ac:dyDescent="0.3">
      <c r="A38" s="4">
        <v>44436</v>
      </c>
      <c r="B38" t="s">
        <v>25</v>
      </c>
      <c r="C38" t="s">
        <v>9</v>
      </c>
      <c r="D38" t="s">
        <v>10</v>
      </c>
      <c r="E38" t="s">
        <v>37</v>
      </c>
      <c r="F38">
        <v>33</v>
      </c>
      <c r="G38">
        <v>1500</v>
      </c>
      <c r="H38">
        <v>49500</v>
      </c>
    </row>
    <row r="39" spans="1:8" x14ac:dyDescent="0.3">
      <c r="A39" s="4">
        <v>44309</v>
      </c>
      <c r="B39" t="s">
        <v>8</v>
      </c>
      <c r="C39" t="s">
        <v>9</v>
      </c>
      <c r="D39" t="s">
        <v>14</v>
      </c>
      <c r="E39" t="s">
        <v>37</v>
      </c>
      <c r="F39">
        <v>29</v>
      </c>
      <c r="G39">
        <v>2001</v>
      </c>
      <c r="H39">
        <v>58029</v>
      </c>
    </row>
    <row r="40" spans="1:8" x14ac:dyDescent="0.3">
      <c r="A40" s="4">
        <v>44367</v>
      </c>
      <c r="B40" t="s">
        <v>25</v>
      </c>
      <c r="C40" t="s">
        <v>9</v>
      </c>
      <c r="D40" t="s">
        <v>10</v>
      </c>
      <c r="E40" t="s">
        <v>37</v>
      </c>
      <c r="F40">
        <v>34</v>
      </c>
      <c r="G40">
        <v>1500</v>
      </c>
      <c r="H40">
        <v>51000</v>
      </c>
    </row>
    <row r="41" spans="1:8" x14ac:dyDescent="0.3">
      <c r="A41" s="4">
        <v>44428</v>
      </c>
      <c r="B41" t="s">
        <v>36</v>
      </c>
      <c r="C41" t="s">
        <v>13</v>
      </c>
      <c r="D41" t="s">
        <v>21</v>
      </c>
      <c r="E41" t="s">
        <v>37</v>
      </c>
      <c r="F41">
        <v>41</v>
      </c>
      <c r="G41">
        <v>950</v>
      </c>
      <c r="H41">
        <v>38950</v>
      </c>
    </row>
    <row r="42" spans="1:8" x14ac:dyDescent="0.3">
      <c r="A42" s="4">
        <v>44361</v>
      </c>
      <c r="B42" t="s">
        <v>20</v>
      </c>
      <c r="C42" t="s">
        <v>17</v>
      </c>
      <c r="D42" t="s">
        <v>39</v>
      </c>
      <c r="E42" t="s">
        <v>37</v>
      </c>
      <c r="F42">
        <v>14</v>
      </c>
      <c r="G42">
        <v>75</v>
      </c>
      <c r="H42">
        <v>1050</v>
      </c>
    </row>
    <row r="43" spans="1:8" x14ac:dyDescent="0.3">
      <c r="A43" s="4">
        <v>44399</v>
      </c>
      <c r="B43" t="s">
        <v>35</v>
      </c>
      <c r="C43" t="s">
        <v>13</v>
      </c>
      <c r="D43" t="s">
        <v>28</v>
      </c>
      <c r="E43" t="s">
        <v>37</v>
      </c>
      <c r="F43">
        <v>36</v>
      </c>
      <c r="G43">
        <v>1575</v>
      </c>
      <c r="H43">
        <v>56700</v>
      </c>
    </row>
    <row r="44" spans="1:8" x14ac:dyDescent="0.3">
      <c r="A44" s="4">
        <v>44292</v>
      </c>
      <c r="B44" t="s">
        <v>8</v>
      </c>
      <c r="C44" t="s">
        <v>9</v>
      </c>
      <c r="D44" t="s">
        <v>18</v>
      </c>
      <c r="E44" t="s">
        <v>37</v>
      </c>
      <c r="F44">
        <v>21</v>
      </c>
      <c r="G44">
        <v>2001</v>
      </c>
      <c r="H44">
        <v>42021</v>
      </c>
    </row>
    <row r="45" spans="1:8" x14ac:dyDescent="0.3">
      <c r="A45" s="4">
        <v>44250</v>
      </c>
      <c r="B45" t="s">
        <v>22</v>
      </c>
      <c r="C45" t="s">
        <v>9</v>
      </c>
      <c r="D45" t="s">
        <v>39</v>
      </c>
      <c r="E45" t="s">
        <v>37</v>
      </c>
      <c r="F45">
        <v>7</v>
      </c>
      <c r="G45">
        <v>1080</v>
      </c>
      <c r="H45">
        <v>7560</v>
      </c>
    </row>
    <row r="46" spans="1:8" x14ac:dyDescent="0.3">
      <c r="A46" s="4">
        <v>44440</v>
      </c>
      <c r="B46" t="s">
        <v>12</v>
      </c>
      <c r="C46" t="s">
        <v>13</v>
      </c>
      <c r="D46" t="s">
        <v>34</v>
      </c>
      <c r="E46" t="s">
        <v>37</v>
      </c>
      <c r="F46">
        <v>15</v>
      </c>
      <c r="G46">
        <v>790</v>
      </c>
      <c r="H46">
        <v>11850</v>
      </c>
    </row>
    <row r="47" spans="1:8" x14ac:dyDescent="0.3">
      <c r="A47" s="4">
        <v>44229</v>
      </c>
      <c r="B47" t="s">
        <v>8</v>
      </c>
      <c r="C47" t="s">
        <v>9</v>
      </c>
      <c r="D47" t="s">
        <v>18</v>
      </c>
      <c r="E47" t="s">
        <v>37</v>
      </c>
      <c r="F47">
        <v>1</v>
      </c>
      <c r="G47">
        <v>2001</v>
      </c>
      <c r="H47">
        <v>2001</v>
      </c>
    </row>
    <row r="48" spans="1:8" x14ac:dyDescent="0.3">
      <c r="A48" s="4">
        <v>44392</v>
      </c>
      <c r="B48" t="s">
        <v>35</v>
      </c>
      <c r="C48" t="s">
        <v>13</v>
      </c>
      <c r="D48" t="s">
        <v>14</v>
      </c>
      <c r="E48" t="s">
        <v>37</v>
      </c>
      <c r="F48">
        <v>21</v>
      </c>
      <c r="G48">
        <v>1575</v>
      </c>
      <c r="H48">
        <v>33075</v>
      </c>
    </row>
    <row r="49" spans="1:8" x14ac:dyDescent="0.3">
      <c r="A49" s="4">
        <v>44522</v>
      </c>
      <c r="B49" t="s">
        <v>16</v>
      </c>
      <c r="C49" t="s">
        <v>17</v>
      </c>
      <c r="D49" t="s">
        <v>21</v>
      </c>
      <c r="E49" t="s">
        <v>37</v>
      </c>
      <c r="F49">
        <v>30</v>
      </c>
      <c r="G49">
        <v>315</v>
      </c>
      <c r="H49">
        <v>9450</v>
      </c>
    </row>
    <row r="50" spans="1:8" x14ac:dyDescent="0.3">
      <c r="A50" s="4">
        <v>44457</v>
      </c>
      <c r="B50" t="s">
        <v>20</v>
      </c>
      <c r="C50" t="s">
        <v>17</v>
      </c>
      <c r="D50" t="s">
        <v>38</v>
      </c>
      <c r="E50" t="s">
        <v>37</v>
      </c>
      <c r="F50">
        <v>1</v>
      </c>
      <c r="G50">
        <v>75</v>
      </c>
      <c r="H50">
        <v>75</v>
      </c>
    </row>
    <row r="51" spans="1:8" x14ac:dyDescent="0.3">
      <c r="A51" s="4">
        <v>44403</v>
      </c>
      <c r="B51" t="s">
        <v>16</v>
      </c>
      <c r="C51" t="s">
        <v>17</v>
      </c>
      <c r="D51" t="s">
        <v>21</v>
      </c>
      <c r="E51" t="s">
        <v>37</v>
      </c>
      <c r="F51">
        <v>31</v>
      </c>
      <c r="G51">
        <v>315</v>
      </c>
      <c r="H51">
        <v>9765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80A84-EA7B-4770-83A9-800012BA2E04}">
  <dimension ref="A1:H57"/>
  <sheetViews>
    <sheetView workbookViewId="0">
      <selection activeCell="A3" sqref="A3:H57"/>
    </sheetView>
  </sheetViews>
  <sheetFormatPr defaultRowHeight="14.4" x14ac:dyDescent="0.3"/>
  <cols>
    <col min="1" max="1" width="10.33203125" bestFit="1" customWidth="1"/>
    <col min="2" max="2" width="16.77734375" bestFit="1" customWidth="1"/>
    <col min="3" max="3" width="10.77734375" bestFit="1" customWidth="1"/>
    <col min="4" max="4" width="11.109375" bestFit="1" customWidth="1"/>
    <col min="5" max="5" width="9.77734375" bestFit="1" customWidth="1"/>
    <col min="6" max="6" width="13.21875" bestFit="1" customWidth="1"/>
    <col min="7" max="7" width="9" bestFit="1" customWidth="1"/>
    <col min="8" max="8" width="10.109375" bestFit="1" customWidth="1"/>
  </cols>
  <sheetData>
    <row r="1" spans="1:8" x14ac:dyDescent="0.3">
      <c r="A1" s="5" t="s">
        <v>48</v>
      </c>
    </row>
    <row r="3" spans="1:8" x14ac:dyDescent="0.3">
      <c r="A3" t="s">
        <v>0</v>
      </c>
      <c r="B3" t="s">
        <v>1</v>
      </c>
      <c r="C3" t="s">
        <v>2</v>
      </c>
      <c r="D3" t="s">
        <v>3</v>
      </c>
      <c r="E3" t="s">
        <v>4</v>
      </c>
      <c r="F3" t="s">
        <v>5</v>
      </c>
      <c r="G3" t="s">
        <v>6</v>
      </c>
      <c r="H3" t="s">
        <v>7</v>
      </c>
    </row>
    <row r="4" spans="1:8" x14ac:dyDescent="0.3">
      <c r="A4" s="4">
        <v>44347</v>
      </c>
      <c r="B4" t="s">
        <v>20</v>
      </c>
      <c r="C4" t="s">
        <v>17</v>
      </c>
      <c r="D4" t="s">
        <v>32</v>
      </c>
      <c r="E4" t="s">
        <v>31</v>
      </c>
      <c r="F4">
        <v>13</v>
      </c>
      <c r="G4">
        <v>75</v>
      </c>
      <c r="H4">
        <v>975</v>
      </c>
    </row>
    <row r="5" spans="1:8" x14ac:dyDescent="0.3">
      <c r="A5" s="4">
        <v>44409</v>
      </c>
      <c r="B5" t="s">
        <v>16</v>
      </c>
      <c r="C5" t="s">
        <v>17</v>
      </c>
      <c r="D5" t="s">
        <v>34</v>
      </c>
      <c r="E5" t="s">
        <v>31</v>
      </c>
      <c r="F5">
        <v>37</v>
      </c>
      <c r="G5">
        <v>315</v>
      </c>
      <c r="H5">
        <v>11655</v>
      </c>
    </row>
    <row r="6" spans="1:8" x14ac:dyDescent="0.3">
      <c r="A6" s="4">
        <v>44414</v>
      </c>
      <c r="B6" t="s">
        <v>20</v>
      </c>
      <c r="C6" t="s">
        <v>17</v>
      </c>
      <c r="D6" t="s">
        <v>18</v>
      </c>
      <c r="E6" t="s">
        <v>31</v>
      </c>
      <c r="F6">
        <v>35</v>
      </c>
      <c r="G6">
        <v>75</v>
      </c>
      <c r="H6">
        <v>2625</v>
      </c>
    </row>
    <row r="7" spans="1:8" x14ac:dyDescent="0.3">
      <c r="A7" s="4">
        <v>44387</v>
      </c>
      <c r="B7" t="s">
        <v>20</v>
      </c>
      <c r="C7" t="s">
        <v>17</v>
      </c>
      <c r="D7" t="s">
        <v>32</v>
      </c>
      <c r="E7" t="s">
        <v>31</v>
      </c>
      <c r="F7">
        <v>2</v>
      </c>
      <c r="G7">
        <v>75</v>
      </c>
      <c r="H7">
        <v>150</v>
      </c>
    </row>
    <row r="8" spans="1:8" x14ac:dyDescent="0.3">
      <c r="A8" s="4">
        <v>44240</v>
      </c>
      <c r="B8" t="s">
        <v>33</v>
      </c>
      <c r="C8" t="s">
        <v>17</v>
      </c>
      <c r="D8" t="s">
        <v>14</v>
      </c>
      <c r="E8" t="s">
        <v>31</v>
      </c>
      <c r="F8">
        <v>15</v>
      </c>
      <c r="G8">
        <v>350</v>
      </c>
      <c r="H8">
        <v>5250</v>
      </c>
    </row>
    <row r="9" spans="1:8" x14ac:dyDescent="0.3">
      <c r="A9" s="4">
        <v>44225</v>
      </c>
      <c r="B9" t="s">
        <v>33</v>
      </c>
      <c r="C9" t="s">
        <v>17</v>
      </c>
      <c r="D9" t="s">
        <v>21</v>
      </c>
      <c r="E9" t="s">
        <v>31</v>
      </c>
      <c r="F9">
        <v>18</v>
      </c>
      <c r="G9">
        <v>350</v>
      </c>
      <c r="H9">
        <v>6300</v>
      </c>
    </row>
    <row r="10" spans="1:8" x14ac:dyDescent="0.3">
      <c r="A10" s="4">
        <v>44424</v>
      </c>
      <c r="B10" t="s">
        <v>20</v>
      </c>
      <c r="C10" t="s">
        <v>17</v>
      </c>
      <c r="D10" t="s">
        <v>38</v>
      </c>
      <c r="E10" t="s">
        <v>31</v>
      </c>
      <c r="F10">
        <v>41</v>
      </c>
      <c r="G10">
        <v>75</v>
      </c>
      <c r="H10">
        <v>3075</v>
      </c>
    </row>
    <row r="11" spans="1:8" x14ac:dyDescent="0.3">
      <c r="A11" s="4">
        <v>44464</v>
      </c>
      <c r="B11" t="s">
        <v>25</v>
      </c>
      <c r="C11" t="s">
        <v>9</v>
      </c>
      <c r="D11" t="s">
        <v>14</v>
      </c>
      <c r="E11" t="s">
        <v>31</v>
      </c>
      <c r="F11">
        <v>32</v>
      </c>
      <c r="G11">
        <v>1500</v>
      </c>
      <c r="H11">
        <v>48000</v>
      </c>
    </row>
    <row r="12" spans="1:8" x14ac:dyDescent="0.3">
      <c r="A12" s="4">
        <v>44273</v>
      </c>
      <c r="B12" t="s">
        <v>12</v>
      </c>
      <c r="C12" t="s">
        <v>13</v>
      </c>
      <c r="D12" t="s">
        <v>38</v>
      </c>
      <c r="E12" t="s">
        <v>31</v>
      </c>
      <c r="F12">
        <v>40</v>
      </c>
      <c r="G12">
        <v>790</v>
      </c>
      <c r="H12">
        <v>31600</v>
      </c>
    </row>
    <row r="13" spans="1:8" x14ac:dyDescent="0.3">
      <c r="A13" s="4">
        <v>44498</v>
      </c>
      <c r="B13" t="s">
        <v>22</v>
      </c>
      <c r="C13" t="s">
        <v>9</v>
      </c>
      <c r="D13" t="s">
        <v>30</v>
      </c>
      <c r="E13" t="s">
        <v>31</v>
      </c>
      <c r="F13">
        <v>31</v>
      </c>
      <c r="G13">
        <v>1080</v>
      </c>
      <c r="H13">
        <v>33480</v>
      </c>
    </row>
    <row r="14" spans="1:8" x14ac:dyDescent="0.3">
      <c r="A14" s="4">
        <v>44449</v>
      </c>
      <c r="B14" t="s">
        <v>36</v>
      </c>
      <c r="C14" t="s">
        <v>13</v>
      </c>
      <c r="D14" t="s">
        <v>28</v>
      </c>
      <c r="E14" t="s">
        <v>31</v>
      </c>
      <c r="F14">
        <v>12</v>
      </c>
      <c r="G14">
        <v>950</v>
      </c>
      <c r="H14">
        <v>11400</v>
      </c>
    </row>
    <row r="15" spans="1:8" x14ac:dyDescent="0.3">
      <c r="A15" s="4">
        <v>44230</v>
      </c>
      <c r="B15" t="s">
        <v>33</v>
      </c>
      <c r="C15" t="s">
        <v>17</v>
      </c>
      <c r="D15" t="s">
        <v>28</v>
      </c>
      <c r="E15" t="s">
        <v>31</v>
      </c>
      <c r="F15">
        <v>47</v>
      </c>
      <c r="G15">
        <v>350</v>
      </c>
      <c r="H15">
        <v>16450</v>
      </c>
    </row>
    <row r="16" spans="1:8" x14ac:dyDescent="0.3">
      <c r="A16" s="4">
        <v>44285</v>
      </c>
      <c r="B16" t="s">
        <v>25</v>
      </c>
      <c r="C16" t="s">
        <v>9</v>
      </c>
      <c r="D16" t="s">
        <v>30</v>
      </c>
      <c r="E16" t="s">
        <v>31</v>
      </c>
      <c r="F16">
        <v>8</v>
      </c>
      <c r="G16">
        <v>1500</v>
      </c>
      <c r="H16">
        <v>12000</v>
      </c>
    </row>
    <row r="17" spans="1:8" x14ac:dyDescent="0.3">
      <c r="A17" s="4">
        <v>44279</v>
      </c>
      <c r="B17" t="s">
        <v>22</v>
      </c>
      <c r="C17" t="s">
        <v>9</v>
      </c>
      <c r="D17" t="s">
        <v>30</v>
      </c>
      <c r="E17" t="s">
        <v>31</v>
      </c>
      <c r="F17">
        <v>2</v>
      </c>
      <c r="G17">
        <v>1080</v>
      </c>
      <c r="H17">
        <v>2160</v>
      </c>
    </row>
    <row r="18" spans="1:8" x14ac:dyDescent="0.3">
      <c r="A18" s="4">
        <v>44469</v>
      </c>
      <c r="B18" t="s">
        <v>22</v>
      </c>
      <c r="C18" t="s">
        <v>9</v>
      </c>
      <c r="D18" t="s">
        <v>18</v>
      </c>
      <c r="E18" t="s">
        <v>31</v>
      </c>
      <c r="F18">
        <v>6</v>
      </c>
      <c r="G18">
        <v>1080</v>
      </c>
      <c r="H18">
        <v>6480</v>
      </c>
    </row>
    <row r="19" spans="1:8" x14ac:dyDescent="0.3">
      <c r="A19" s="4">
        <v>44241</v>
      </c>
      <c r="B19" t="s">
        <v>22</v>
      </c>
      <c r="C19" t="s">
        <v>9</v>
      </c>
      <c r="D19" t="s">
        <v>21</v>
      </c>
      <c r="E19" t="s">
        <v>31</v>
      </c>
      <c r="F19">
        <v>40</v>
      </c>
      <c r="G19">
        <v>1080</v>
      </c>
      <c r="H19">
        <v>43200</v>
      </c>
    </row>
    <row r="20" spans="1:8" x14ac:dyDescent="0.3">
      <c r="A20" s="4">
        <v>44368</v>
      </c>
      <c r="B20" t="s">
        <v>16</v>
      </c>
      <c r="C20" t="s">
        <v>17</v>
      </c>
      <c r="D20" t="s">
        <v>10</v>
      </c>
      <c r="E20" t="s">
        <v>31</v>
      </c>
      <c r="F20">
        <v>49</v>
      </c>
      <c r="G20">
        <v>315</v>
      </c>
      <c r="H20">
        <v>15435</v>
      </c>
    </row>
    <row r="21" spans="1:8" x14ac:dyDescent="0.3">
      <c r="A21" s="4">
        <v>44483</v>
      </c>
      <c r="B21" t="s">
        <v>25</v>
      </c>
      <c r="C21" t="s">
        <v>9</v>
      </c>
      <c r="D21" t="s">
        <v>30</v>
      </c>
      <c r="E21" t="s">
        <v>31</v>
      </c>
      <c r="F21">
        <v>31</v>
      </c>
      <c r="G21">
        <v>1500</v>
      </c>
      <c r="H21">
        <v>46500</v>
      </c>
    </row>
    <row r="22" spans="1:8" x14ac:dyDescent="0.3">
      <c r="A22" s="4">
        <v>44460</v>
      </c>
      <c r="B22" t="s">
        <v>16</v>
      </c>
      <c r="C22" t="s">
        <v>17</v>
      </c>
      <c r="D22" t="s">
        <v>34</v>
      </c>
      <c r="E22" t="s">
        <v>31</v>
      </c>
      <c r="F22">
        <v>22</v>
      </c>
      <c r="G22">
        <v>315</v>
      </c>
      <c r="H22">
        <v>6930</v>
      </c>
    </row>
    <row r="23" spans="1:8" x14ac:dyDescent="0.3">
      <c r="A23" s="4">
        <v>44472</v>
      </c>
      <c r="B23" t="s">
        <v>8</v>
      </c>
      <c r="C23" t="s">
        <v>9</v>
      </c>
      <c r="D23" t="s">
        <v>32</v>
      </c>
      <c r="E23" t="s">
        <v>31</v>
      </c>
      <c r="F23">
        <v>43</v>
      </c>
      <c r="G23">
        <v>2001</v>
      </c>
      <c r="H23">
        <v>86043</v>
      </c>
    </row>
    <row r="24" spans="1:8" x14ac:dyDescent="0.3">
      <c r="A24" s="4">
        <v>44372</v>
      </c>
      <c r="B24" t="s">
        <v>35</v>
      </c>
      <c r="C24" t="s">
        <v>13</v>
      </c>
      <c r="D24" t="s">
        <v>28</v>
      </c>
      <c r="E24" t="s">
        <v>31</v>
      </c>
      <c r="F24">
        <v>22</v>
      </c>
      <c r="G24">
        <v>1575</v>
      </c>
      <c r="H24">
        <v>34650</v>
      </c>
    </row>
    <row r="25" spans="1:8" x14ac:dyDescent="0.3">
      <c r="A25" s="4">
        <v>44506</v>
      </c>
      <c r="B25" t="s">
        <v>22</v>
      </c>
      <c r="C25" t="s">
        <v>9</v>
      </c>
      <c r="D25" t="s">
        <v>34</v>
      </c>
      <c r="E25" t="s">
        <v>31</v>
      </c>
      <c r="F25">
        <v>48</v>
      </c>
      <c r="G25">
        <v>1080</v>
      </c>
      <c r="H25">
        <v>51840</v>
      </c>
    </row>
    <row r="26" spans="1:8" x14ac:dyDescent="0.3">
      <c r="A26" s="4">
        <v>44455</v>
      </c>
      <c r="B26" t="s">
        <v>36</v>
      </c>
      <c r="C26" t="s">
        <v>13</v>
      </c>
      <c r="D26" t="s">
        <v>18</v>
      </c>
      <c r="E26" t="s">
        <v>31</v>
      </c>
      <c r="F26">
        <v>9</v>
      </c>
      <c r="G26">
        <v>950</v>
      </c>
      <c r="H26">
        <v>8550</v>
      </c>
    </row>
    <row r="27" spans="1:8" x14ac:dyDescent="0.3">
      <c r="A27" s="4">
        <v>44442</v>
      </c>
      <c r="B27" t="s">
        <v>33</v>
      </c>
      <c r="C27" t="s">
        <v>17</v>
      </c>
      <c r="D27" t="s">
        <v>32</v>
      </c>
      <c r="E27" t="s">
        <v>31</v>
      </c>
      <c r="F27">
        <v>39</v>
      </c>
      <c r="G27">
        <v>350</v>
      </c>
      <c r="H27">
        <v>13650</v>
      </c>
    </row>
    <row r="28" spans="1:8" x14ac:dyDescent="0.3">
      <c r="A28" s="4">
        <v>44353</v>
      </c>
      <c r="B28" t="s">
        <v>36</v>
      </c>
      <c r="C28" t="s">
        <v>13</v>
      </c>
      <c r="D28" t="s">
        <v>38</v>
      </c>
      <c r="E28" t="s">
        <v>31</v>
      </c>
      <c r="F28">
        <v>26</v>
      </c>
      <c r="G28">
        <v>950</v>
      </c>
      <c r="H28">
        <v>24700</v>
      </c>
    </row>
    <row r="29" spans="1:8" x14ac:dyDescent="0.3">
      <c r="A29" s="4">
        <v>44404</v>
      </c>
      <c r="B29" t="s">
        <v>12</v>
      </c>
      <c r="C29" t="s">
        <v>13</v>
      </c>
      <c r="D29" t="s">
        <v>30</v>
      </c>
      <c r="E29" t="s">
        <v>31</v>
      </c>
      <c r="F29">
        <v>17</v>
      </c>
      <c r="G29">
        <v>790</v>
      </c>
      <c r="H29">
        <v>13430</v>
      </c>
    </row>
    <row r="30" spans="1:8" x14ac:dyDescent="0.3">
      <c r="A30" s="4">
        <v>44502</v>
      </c>
      <c r="B30" t="s">
        <v>33</v>
      </c>
      <c r="C30" t="s">
        <v>17</v>
      </c>
      <c r="D30" t="s">
        <v>39</v>
      </c>
      <c r="E30" t="s">
        <v>31</v>
      </c>
      <c r="F30">
        <v>34</v>
      </c>
      <c r="G30">
        <v>350</v>
      </c>
      <c r="H30">
        <v>11900</v>
      </c>
    </row>
    <row r="31" spans="1:8" x14ac:dyDescent="0.3">
      <c r="A31" s="4">
        <v>44410</v>
      </c>
      <c r="B31" t="s">
        <v>22</v>
      </c>
      <c r="C31" t="s">
        <v>9</v>
      </c>
      <c r="D31" t="s">
        <v>18</v>
      </c>
      <c r="E31" t="s">
        <v>31</v>
      </c>
      <c r="F31">
        <v>35</v>
      </c>
      <c r="G31">
        <v>1080</v>
      </c>
      <c r="H31">
        <v>37800</v>
      </c>
    </row>
    <row r="32" spans="1:8" x14ac:dyDescent="0.3">
      <c r="A32" s="4">
        <v>44253</v>
      </c>
      <c r="B32" t="s">
        <v>33</v>
      </c>
      <c r="C32" t="s">
        <v>17</v>
      </c>
      <c r="D32" t="s">
        <v>14</v>
      </c>
      <c r="E32" t="s">
        <v>31</v>
      </c>
      <c r="F32">
        <v>3</v>
      </c>
      <c r="G32">
        <v>350</v>
      </c>
      <c r="H32">
        <v>1050</v>
      </c>
    </row>
    <row r="33" spans="1:8" x14ac:dyDescent="0.3">
      <c r="A33" s="4">
        <v>44479</v>
      </c>
      <c r="B33" t="s">
        <v>36</v>
      </c>
      <c r="C33" t="s">
        <v>13</v>
      </c>
      <c r="D33" t="s">
        <v>38</v>
      </c>
      <c r="E33" t="s">
        <v>31</v>
      </c>
      <c r="F33">
        <v>45</v>
      </c>
      <c r="G33">
        <v>950</v>
      </c>
      <c r="H33">
        <v>42750</v>
      </c>
    </row>
    <row r="34" spans="1:8" x14ac:dyDescent="0.3">
      <c r="A34" s="4">
        <v>44340</v>
      </c>
      <c r="B34" t="s">
        <v>36</v>
      </c>
      <c r="C34" t="s">
        <v>13</v>
      </c>
      <c r="D34" t="s">
        <v>34</v>
      </c>
      <c r="E34" t="s">
        <v>31</v>
      </c>
      <c r="F34">
        <v>45</v>
      </c>
      <c r="G34">
        <v>950</v>
      </c>
      <c r="H34">
        <v>42750</v>
      </c>
    </row>
    <row r="35" spans="1:8" x14ac:dyDescent="0.3">
      <c r="A35" s="4">
        <v>44429</v>
      </c>
      <c r="B35" t="s">
        <v>8</v>
      </c>
      <c r="C35" t="s">
        <v>9</v>
      </c>
      <c r="D35" t="s">
        <v>30</v>
      </c>
      <c r="E35" t="s">
        <v>31</v>
      </c>
      <c r="F35">
        <v>36</v>
      </c>
      <c r="G35">
        <v>2001</v>
      </c>
      <c r="H35">
        <v>72036</v>
      </c>
    </row>
    <row r="36" spans="1:8" x14ac:dyDescent="0.3">
      <c r="A36" s="4">
        <v>44305</v>
      </c>
      <c r="B36" t="s">
        <v>22</v>
      </c>
      <c r="C36" t="s">
        <v>9</v>
      </c>
      <c r="D36" t="s">
        <v>28</v>
      </c>
      <c r="E36" t="s">
        <v>31</v>
      </c>
      <c r="F36">
        <v>48</v>
      </c>
      <c r="G36">
        <v>1080</v>
      </c>
      <c r="H36">
        <v>51840</v>
      </c>
    </row>
    <row r="37" spans="1:8" x14ac:dyDescent="0.3">
      <c r="A37" s="4">
        <v>44339</v>
      </c>
      <c r="B37" t="s">
        <v>33</v>
      </c>
      <c r="C37" t="s">
        <v>17</v>
      </c>
      <c r="D37" t="s">
        <v>32</v>
      </c>
      <c r="E37" t="s">
        <v>31</v>
      </c>
      <c r="F37">
        <v>26</v>
      </c>
      <c r="G37">
        <v>350</v>
      </c>
      <c r="H37">
        <v>9100</v>
      </c>
    </row>
    <row r="38" spans="1:8" x14ac:dyDescent="0.3">
      <c r="A38" s="4">
        <v>44397</v>
      </c>
      <c r="B38" t="s">
        <v>22</v>
      </c>
      <c r="C38" t="s">
        <v>9</v>
      </c>
      <c r="D38" t="s">
        <v>38</v>
      </c>
      <c r="E38" t="s">
        <v>31</v>
      </c>
      <c r="F38">
        <v>50</v>
      </c>
      <c r="G38">
        <v>1080</v>
      </c>
      <c r="H38">
        <v>54000</v>
      </c>
    </row>
    <row r="39" spans="1:8" x14ac:dyDescent="0.3">
      <c r="A39" s="4">
        <v>44288</v>
      </c>
      <c r="B39" t="s">
        <v>35</v>
      </c>
      <c r="C39" t="s">
        <v>13</v>
      </c>
      <c r="D39" t="s">
        <v>38</v>
      </c>
      <c r="E39" t="s">
        <v>31</v>
      </c>
      <c r="F39">
        <v>17</v>
      </c>
      <c r="G39">
        <v>1575</v>
      </c>
      <c r="H39">
        <v>26775</v>
      </c>
    </row>
    <row r="40" spans="1:8" x14ac:dyDescent="0.3">
      <c r="A40" s="4">
        <v>44396</v>
      </c>
      <c r="B40" t="s">
        <v>25</v>
      </c>
      <c r="C40" t="s">
        <v>9</v>
      </c>
      <c r="D40" t="s">
        <v>28</v>
      </c>
      <c r="E40" t="s">
        <v>31</v>
      </c>
      <c r="F40">
        <v>24</v>
      </c>
      <c r="G40">
        <v>1500</v>
      </c>
      <c r="H40">
        <v>36000</v>
      </c>
    </row>
    <row r="41" spans="1:8" x14ac:dyDescent="0.3">
      <c r="A41" s="4">
        <v>44200</v>
      </c>
      <c r="B41" t="s">
        <v>20</v>
      </c>
      <c r="C41" t="s">
        <v>17</v>
      </c>
      <c r="D41" t="s">
        <v>30</v>
      </c>
      <c r="E41" t="s">
        <v>31</v>
      </c>
      <c r="F41">
        <v>16</v>
      </c>
      <c r="G41">
        <v>75</v>
      </c>
      <c r="H41">
        <v>1200</v>
      </c>
    </row>
    <row r="42" spans="1:8" x14ac:dyDescent="0.3">
      <c r="A42" s="4">
        <v>44466</v>
      </c>
      <c r="B42" t="s">
        <v>25</v>
      </c>
      <c r="C42" t="s">
        <v>9</v>
      </c>
      <c r="D42" t="s">
        <v>10</v>
      </c>
      <c r="E42" t="s">
        <v>31</v>
      </c>
      <c r="F42">
        <v>37</v>
      </c>
      <c r="G42">
        <v>1500</v>
      </c>
      <c r="H42">
        <v>55500</v>
      </c>
    </row>
    <row r="43" spans="1:8" x14ac:dyDescent="0.3">
      <c r="A43" s="4">
        <v>44386</v>
      </c>
      <c r="B43" t="s">
        <v>35</v>
      </c>
      <c r="C43" t="s">
        <v>13</v>
      </c>
      <c r="D43" t="s">
        <v>21</v>
      </c>
      <c r="E43" t="s">
        <v>31</v>
      </c>
      <c r="F43">
        <v>23</v>
      </c>
      <c r="G43">
        <v>1575</v>
      </c>
      <c r="H43">
        <v>36225</v>
      </c>
    </row>
    <row r="44" spans="1:8" x14ac:dyDescent="0.3">
      <c r="A44" s="4">
        <v>44451</v>
      </c>
      <c r="B44" t="s">
        <v>25</v>
      </c>
      <c r="C44" t="s">
        <v>9</v>
      </c>
      <c r="D44" t="s">
        <v>34</v>
      </c>
      <c r="E44" t="s">
        <v>31</v>
      </c>
      <c r="F44">
        <v>19</v>
      </c>
      <c r="G44">
        <v>1500</v>
      </c>
      <c r="H44">
        <v>28500</v>
      </c>
    </row>
    <row r="45" spans="1:8" x14ac:dyDescent="0.3">
      <c r="A45" s="4">
        <v>44440</v>
      </c>
      <c r="B45" t="s">
        <v>25</v>
      </c>
      <c r="C45" t="s">
        <v>9</v>
      </c>
      <c r="D45" t="s">
        <v>21</v>
      </c>
      <c r="E45" t="s">
        <v>31</v>
      </c>
      <c r="F45">
        <v>33</v>
      </c>
      <c r="G45">
        <v>1500</v>
      </c>
      <c r="H45">
        <v>49500</v>
      </c>
    </row>
    <row r="46" spans="1:8" x14ac:dyDescent="0.3">
      <c r="A46" s="4">
        <v>44399</v>
      </c>
      <c r="B46" t="s">
        <v>20</v>
      </c>
      <c r="C46" t="s">
        <v>17</v>
      </c>
      <c r="D46" t="s">
        <v>32</v>
      </c>
      <c r="E46" t="s">
        <v>31</v>
      </c>
      <c r="F46">
        <v>6</v>
      </c>
      <c r="G46">
        <v>75</v>
      </c>
      <c r="H46">
        <v>450</v>
      </c>
    </row>
    <row r="47" spans="1:8" x14ac:dyDescent="0.3">
      <c r="A47" s="4">
        <v>44515</v>
      </c>
      <c r="B47" t="s">
        <v>20</v>
      </c>
      <c r="C47" t="s">
        <v>17</v>
      </c>
      <c r="D47" t="s">
        <v>34</v>
      </c>
      <c r="E47" t="s">
        <v>31</v>
      </c>
      <c r="F47">
        <v>7</v>
      </c>
      <c r="G47">
        <v>75</v>
      </c>
      <c r="H47">
        <v>525</v>
      </c>
    </row>
    <row r="48" spans="1:8" x14ac:dyDescent="0.3">
      <c r="A48" s="4">
        <v>44490</v>
      </c>
      <c r="B48" t="s">
        <v>36</v>
      </c>
      <c r="C48" t="s">
        <v>13</v>
      </c>
      <c r="D48" t="s">
        <v>38</v>
      </c>
      <c r="E48" t="s">
        <v>31</v>
      </c>
      <c r="F48">
        <v>29</v>
      </c>
      <c r="G48">
        <v>950</v>
      </c>
      <c r="H48">
        <v>27550</v>
      </c>
    </row>
    <row r="49" spans="1:8" x14ac:dyDescent="0.3">
      <c r="A49" s="4">
        <v>44421</v>
      </c>
      <c r="B49" t="s">
        <v>35</v>
      </c>
      <c r="C49" t="s">
        <v>13</v>
      </c>
      <c r="D49" t="s">
        <v>28</v>
      </c>
      <c r="E49" t="s">
        <v>31</v>
      </c>
      <c r="F49">
        <v>2</v>
      </c>
      <c r="G49">
        <v>1575</v>
      </c>
      <c r="H49">
        <v>3150</v>
      </c>
    </row>
    <row r="50" spans="1:8" x14ac:dyDescent="0.3">
      <c r="A50" s="4">
        <v>44469</v>
      </c>
      <c r="B50" t="s">
        <v>22</v>
      </c>
      <c r="C50" t="s">
        <v>9</v>
      </c>
      <c r="D50" t="s">
        <v>18</v>
      </c>
      <c r="E50" t="s">
        <v>31</v>
      </c>
      <c r="F50">
        <v>24</v>
      </c>
      <c r="G50">
        <v>1080</v>
      </c>
      <c r="H50">
        <v>25920</v>
      </c>
    </row>
    <row r="51" spans="1:8" x14ac:dyDescent="0.3">
      <c r="A51" s="4">
        <v>44552</v>
      </c>
      <c r="B51" t="s">
        <v>36</v>
      </c>
      <c r="C51" t="s">
        <v>13</v>
      </c>
      <c r="D51" t="s">
        <v>39</v>
      </c>
      <c r="E51" t="s">
        <v>31</v>
      </c>
      <c r="F51">
        <v>15</v>
      </c>
      <c r="G51">
        <v>950</v>
      </c>
      <c r="H51">
        <v>14250</v>
      </c>
    </row>
    <row r="52" spans="1:8" x14ac:dyDescent="0.3">
      <c r="A52" s="4">
        <v>44463</v>
      </c>
      <c r="B52" t="s">
        <v>16</v>
      </c>
      <c r="C52" t="s">
        <v>17</v>
      </c>
      <c r="D52" t="s">
        <v>32</v>
      </c>
      <c r="E52" t="s">
        <v>31</v>
      </c>
      <c r="F52">
        <v>35</v>
      </c>
      <c r="G52">
        <v>315</v>
      </c>
      <c r="H52">
        <v>11025</v>
      </c>
    </row>
    <row r="53" spans="1:8" x14ac:dyDescent="0.3">
      <c r="A53" s="4">
        <v>44328</v>
      </c>
      <c r="B53" t="s">
        <v>8</v>
      </c>
      <c r="C53" t="s">
        <v>9</v>
      </c>
      <c r="D53" t="s">
        <v>18</v>
      </c>
      <c r="E53" t="s">
        <v>31</v>
      </c>
      <c r="F53">
        <v>20</v>
      </c>
      <c r="G53">
        <v>2001</v>
      </c>
      <c r="H53">
        <v>40020</v>
      </c>
    </row>
    <row r="54" spans="1:8" x14ac:dyDescent="0.3">
      <c r="A54" s="4">
        <v>44447</v>
      </c>
      <c r="B54" t="s">
        <v>12</v>
      </c>
      <c r="C54" t="s">
        <v>13</v>
      </c>
      <c r="D54" t="s">
        <v>14</v>
      </c>
      <c r="E54" t="s">
        <v>31</v>
      </c>
      <c r="F54">
        <v>10</v>
      </c>
      <c r="G54">
        <v>790</v>
      </c>
      <c r="H54">
        <v>7900</v>
      </c>
    </row>
    <row r="55" spans="1:8" x14ac:dyDescent="0.3">
      <c r="A55" s="4">
        <v>44235</v>
      </c>
      <c r="B55" t="s">
        <v>25</v>
      </c>
      <c r="C55" t="s">
        <v>9</v>
      </c>
      <c r="D55" t="s">
        <v>21</v>
      </c>
      <c r="E55" t="s">
        <v>31</v>
      </c>
      <c r="F55">
        <v>48</v>
      </c>
      <c r="G55">
        <v>1500</v>
      </c>
      <c r="H55">
        <v>72000</v>
      </c>
    </row>
    <row r="56" spans="1:8" x14ac:dyDescent="0.3">
      <c r="A56" s="4">
        <v>44552</v>
      </c>
      <c r="B56" t="s">
        <v>33</v>
      </c>
      <c r="C56" t="s">
        <v>17</v>
      </c>
      <c r="D56" t="s">
        <v>30</v>
      </c>
      <c r="E56" t="s">
        <v>31</v>
      </c>
      <c r="F56">
        <v>16</v>
      </c>
      <c r="G56">
        <v>350</v>
      </c>
      <c r="H56">
        <v>5600</v>
      </c>
    </row>
    <row r="57" spans="1:8" x14ac:dyDescent="0.3">
      <c r="A57" s="4">
        <v>44388</v>
      </c>
      <c r="B57" t="s">
        <v>22</v>
      </c>
      <c r="C57" t="s">
        <v>9</v>
      </c>
      <c r="D57" t="s">
        <v>39</v>
      </c>
      <c r="E57" t="s">
        <v>31</v>
      </c>
      <c r="F57">
        <v>36</v>
      </c>
      <c r="G57">
        <v>1080</v>
      </c>
      <c r="H57">
        <v>38880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59584-79C8-4891-AD3C-C6D4FF5845D7}">
  <dimension ref="A3:L79"/>
  <sheetViews>
    <sheetView topLeftCell="A70" workbookViewId="0">
      <selection activeCell="B81" sqref="B81"/>
    </sheetView>
  </sheetViews>
  <sheetFormatPr defaultRowHeight="14.4" x14ac:dyDescent="0.3"/>
  <cols>
    <col min="1" max="2" width="12.5546875" bestFit="1" customWidth="1"/>
    <col min="3" max="3" width="17.6640625" bestFit="1" customWidth="1"/>
    <col min="4" max="4" width="11.5546875" bestFit="1" customWidth="1"/>
    <col min="5" max="5" width="14.44140625" bestFit="1" customWidth="1"/>
    <col min="8" max="8" width="12.5546875" bestFit="1" customWidth="1"/>
    <col min="9" max="9" width="11.5546875" bestFit="1" customWidth="1"/>
    <col min="10" max="10" width="12.5546875" bestFit="1" customWidth="1"/>
    <col min="11" max="11" width="14.44140625" bestFit="1" customWidth="1"/>
    <col min="12" max="12" width="11.5546875" bestFit="1" customWidth="1"/>
  </cols>
  <sheetData>
    <row r="3" spans="1:12" x14ac:dyDescent="0.3">
      <c r="A3" s="2" t="s">
        <v>40</v>
      </c>
      <c r="B3" t="s">
        <v>42</v>
      </c>
      <c r="D3" s="2" t="s">
        <v>40</v>
      </c>
      <c r="E3" t="s">
        <v>42</v>
      </c>
      <c r="H3" s="2" t="s">
        <v>40</v>
      </c>
      <c r="I3" t="s">
        <v>42</v>
      </c>
    </row>
    <row r="4" spans="1:12" x14ac:dyDescent="0.3">
      <c r="A4" s="3" t="s">
        <v>19</v>
      </c>
      <c r="B4" s="6">
        <v>4740</v>
      </c>
      <c r="D4" s="3" t="s">
        <v>12</v>
      </c>
      <c r="E4" s="6">
        <v>4740</v>
      </c>
      <c r="H4" s="3" t="s">
        <v>13</v>
      </c>
      <c r="I4" s="6">
        <v>4740</v>
      </c>
    </row>
    <row r="5" spans="1:12" x14ac:dyDescent="0.3">
      <c r="A5" s="3" t="s">
        <v>41</v>
      </c>
      <c r="B5" s="6">
        <v>4740</v>
      </c>
      <c r="D5" s="3" t="s">
        <v>41</v>
      </c>
      <c r="E5" s="6">
        <v>4740</v>
      </c>
      <c r="H5" s="3" t="s">
        <v>41</v>
      </c>
      <c r="I5" s="6">
        <v>4740</v>
      </c>
    </row>
    <row r="9" spans="1:12" x14ac:dyDescent="0.3">
      <c r="H9" s="2" t="s">
        <v>40</v>
      </c>
      <c r="I9" t="s">
        <v>45</v>
      </c>
      <c r="J9" s="2" t="s">
        <v>40</v>
      </c>
      <c r="K9" t="s">
        <v>42</v>
      </c>
      <c r="L9" t="s">
        <v>45</v>
      </c>
    </row>
    <row r="10" spans="1:12" x14ac:dyDescent="0.3">
      <c r="H10" s="3" t="s">
        <v>30</v>
      </c>
      <c r="I10" s="11">
        <v>790</v>
      </c>
      <c r="J10" s="3" t="s">
        <v>19</v>
      </c>
      <c r="K10" s="6">
        <v>4740</v>
      </c>
      <c r="L10" s="7">
        <v>790</v>
      </c>
    </row>
    <row r="11" spans="1:12" x14ac:dyDescent="0.3">
      <c r="H11" s="3" t="s">
        <v>41</v>
      </c>
      <c r="I11" s="11">
        <v>790</v>
      </c>
      <c r="J11" s="3" t="s">
        <v>41</v>
      </c>
      <c r="K11" s="6">
        <v>4740</v>
      </c>
      <c r="L11" s="7">
        <v>790</v>
      </c>
    </row>
    <row r="36" spans="1:2" x14ac:dyDescent="0.3">
      <c r="A36" s="2" t="s">
        <v>40</v>
      </c>
      <c r="B36" t="s">
        <v>42</v>
      </c>
    </row>
    <row r="37" spans="1:2" x14ac:dyDescent="0.3">
      <c r="A37" s="3" t="s">
        <v>19</v>
      </c>
      <c r="B37" s="6">
        <v>4740</v>
      </c>
    </row>
    <row r="38" spans="1:2" x14ac:dyDescent="0.3">
      <c r="A38" s="3" t="s">
        <v>41</v>
      </c>
      <c r="B38" s="6">
        <v>4740</v>
      </c>
    </row>
    <row r="55" spans="2:3" x14ac:dyDescent="0.3">
      <c r="B55" s="2" t="s">
        <v>40</v>
      </c>
      <c r="C55" t="s">
        <v>42</v>
      </c>
    </row>
    <row r="56" spans="2:3" x14ac:dyDescent="0.3">
      <c r="B56" s="3" t="s">
        <v>47</v>
      </c>
      <c r="C56" s="11">
        <v>4740</v>
      </c>
    </row>
    <row r="57" spans="2:3" x14ac:dyDescent="0.3">
      <c r="B57" s="3" t="s">
        <v>41</v>
      </c>
      <c r="C57" s="11">
        <v>4740</v>
      </c>
    </row>
    <row r="77" spans="2:4" x14ac:dyDescent="0.3">
      <c r="B77" s="2" t="s">
        <v>40</v>
      </c>
      <c r="C77" t="s">
        <v>49</v>
      </c>
      <c r="D77" t="s">
        <v>45</v>
      </c>
    </row>
    <row r="78" spans="2:4" x14ac:dyDescent="0.3">
      <c r="B78" s="3" t="s">
        <v>19</v>
      </c>
      <c r="C78" s="11">
        <v>6</v>
      </c>
      <c r="D78" s="11">
        <v>790</v>
      </c>
    </row>
    <row r="79" spans="2:4" x14ac:dyDescent="0.3">
      <c r="B79" s="3" t="s">
        <v>41</v>
      </c>
      <c r="C79" s="11">
        <v>6</v>
      </c>
      <c r="D79" s="11">
        <v>790</v>
      </c>
    </row>
  </sheetData>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2E41E-077D-466E-B755-735DAEF64E68}">
  <dimension ref="A1"/>
  <sheetViews>
    <sheetView showGridLines="0" workbookViewId="0">
      <selection activeCell="M26" sqref="M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76C85-43E4-4CBF-9B8D-75024AB81F7C}">
  <dimension ref="A3:B62"/>
  <sheetViews>
    <sheetView topLeftCell="A28" workbookViewId="0">
      <selection activeCell="F43" sqref="F43"/>
    </sheetView>
  </sheetViews>
  <sheetFormatPr defaultRowHeight="14.4" x14ac:dyDescent="0.3"/>
  <cols>
    <col min="1" max="1" width="12.5546875" bestFit="1" customWidth="1"/>
    <col min="2" max="2" width="14.44140625" bestFit="1" customWidth="1"/>
    <col min="3" max="3" width="16.77734375" bestFit="1" customWidth="1"/>
  </cols>
  <sheetData>
    <row r="3" spans="1:2" x14ac:dyDescent="0.3">
      <c r="A3" s="2" t="s">
        <v>40</v>
      </c>
      <c r="B3" t="s">
        <v>42</v>
      </c>
    </row>
    <row r="4" spans="1:2" x14ac:dyDescent="0.3">
      <c r="A4" s="3" t="s">
        <v>36</v>
      </c>
      <c r="B4" s="11">
        <v>88350</v>
      </c>
    </row>
    <row r="5" spans="1:2" x14ac:dyDescent="0.3">
      <c r="A5" s="3" t="s">
        <v>35</v>
      </c>
      <c r="B5" s="11">
        <v>66150</v>
      </c>
    </row>
    <row r="6" spans="1:2" x14ac:dyDescent="0.3">
      <c r="A6" s="3" t="s">
        <v>12</v>
      </c>
      <c r="B6" s="11">
        <v>15010</v>
      </c>
    </row>
    <row r="7" spans="1:2" x14ac:dyDescent="0.3">
      <c r="A7" s="3" t="s">
        <v>41</v>
      </c>
      <c r="B7" s="11">
        <v>169510</v>
      </c>
    </row>
    <row r="26" spans="1:2" x14ac:dyDescent="0.3">
      <c r="A26" s="2" t="s">
        <v>40</v>
      </c>
      <c r="B26" t="s">
        <v>42</v>
      </c>
    </row>
    <row r="27" spans="1:2" x14ac:dyDescent="0.3">
      <c r="A27" s="3" t="s">
        <v>57</v>
      </c>
      <c r="B27" s="11">
        <v>36225</v>
      </c>
    </row>
    <row r="28" spans="1:2" x14ac:dyDescent="0.3">
      <c r="A28" s="3" t="s">
        <v>58</v>
      </c>
      <c r="B28" s="11">
        <v>46550</v>
      </c>
    </row>
    <row r="29" spans="1:2" x14ac:dyDescent="0.3">
      <c r="A29" s="3" t="s">
        <v>47</v>
      </c>
      <c r="B29" s="11">
        <v>4740</v>
      </c>
    </row>
    <row r="30" spans="1:2" x14ac:dyDescent="0.3">
      <c r="A30" s="3" t="s">
        <v>59</v>
      </c>
      <c r="B30" s="11">
        <v>29925</v>
      </c>
    </row>
    <row r="31" spans="1:2" x14ac:dyDescent="0.3">
      <c r="A31" s="3" t="s">
        <v>60</v>
      </c>
      <c r="B31" s="11">
        <v>10450</v>
      </c>
    </row>
    <row r="32" spans="1:2" x14ac:dyDescent="0.3">
      <c r="A32" s="3" t="s">
        <v>61</v>
      </c>
      <c r="B32" s="11">
        <v>10270</v>
      </c>
    </row>
    <row r="33" spans="1:2" x14ac:dyDescent="0.3">
      <c r="A33" s="3" t="s">
        <v>62</v>
      </c>
      <c r="B33" s="11">
        <v>31350</v>
      </c>
    </row>
    <row r="34" spans="1:2" x14ac:dyDescent="0.3">
      <c r="A34" s="3" t="s">
        <v>41</v>
      </c>
      <c r="B34" s="11">
        <v>169510</v>
      </c>
    </row>
    <row r="43" spans="1:2" x14ac:dyDescent="0.3">
      <c r="A43" s="2" t="s">
        <v>40</v>
      </c>
      <c r="B43" t="s">
        <v>64</v>
      </c>
    </row>
    <row r="44" spans="1:2" x14ac:dyDescent="0.3">
      <c r="A44" s="3" t="s">
        <v>19</v>
      </c>
      <c r="B44" s="11">
        <v>8</v>
      </c>
    </row>
    <row r="45" spans="1:2" x14ac:dyDescent="0.3">
      <c r="A45" s="3" t="s">
        <v>41</v>
      </c>
      <c r="B45" s="11">
        <v>8</v>
      </c>
    </row>
    <row r="60" spans="1:2" x14ac:dyDescent="0.3">
      <c r="A60" s="2" t="s">
        <v>40</v>
      </c>
      <c r="B60" t="s">
        <v>42</v>
      </c>
    </row>
    <row r="61" spans="1:2" x14ac:dyDescent="0.3">
      <c r="A61" s="3" t="s">
        <v>13</v>
      </c>
      <c r="B61" s="11">
        <v>169510</v>
      </c>
    </row>
    <row r="62" spans="1:2" x14ac:dyDescent="0.3">
      <c r="A62" s="3" t="s">
        <v>41</v>
      </c>
      <c r="B62" s="11">
        <v>169510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D1" sqref="D1"/>
    </sheetView>
  </sheetViews>
  <sheetFormatPr defaultRowHeight="14.4" x14ac:dyDescent="0.3"/>
  <cols>
    <col min="1" max="1" width="17.77734375" customWidth="1"/>
    <col min="2" max="2" width="15.88671875" customWidth="1"/>
  </cols>
  <sheetData>
    <row r="1" spans="1:8" x14ac:dyDescent="0.3">
      <c r="A1" t="s">
        <v>0</v>
      </c>
      <c r="B1" t="s">
        <v>1</v>
      </c>
      <c r="C1" t="s">
        <v>2</v>
      </c>
      <c r="D1" t="s">
        <v>3</v>
      </c>
      <c r="E1" t="s">
        <v>4</v>
      </c>
      <c r="F1" t="s">
        <v>5</v>
      </c>
      <c r="G1" t="s">
        <v>6</v>
      </c>
      <c r="H1" t="s">
        <v>7</v>
      </c>
    </row>
    <row r="2" spans="1:8" x14ac:dyDescent="0.3">
      <c r="A2" s="1">
        <v>44459</v>
      </c>
      <c r="B2" t="s">
        <v>8</v>
      </c>
      <c r="C2" t="s">
        <v>9</v>
      </c>
      <c r="D2" t="s">
        <v>10</v>
      </c>
      <c r="E2" t="s">
        <v>11</v>
      </c>
      <c r="F2">
        <v>10</v>
      </c>
      <c r="G2">
        <v>2001</v>
      </c>
      <c r="H2">
        <v>20010</v>
      </c>
    </row>
    <row r="3" spans="1:8" ht="1.8" customHeight="1" x14ac:dyDescent="0.3">
      <c r="A3" s="1">
        <v>44460</v>
      </c>
      <c r="B3" t="s">
        <v>12</v>
      </c>
      <c r="C3" t="s">
        <v>13</v>
      </c>
      <c r="D3" t="s">
        <v>14</v>
      </c>
      <c r="E3" t="s">
        <v>15</v>
      </c>
      <c r="F3">
        <v>43</v>
      </c>
      <c r="G3">
        <v>790</v>
      </c>
      <c r="H3">
        <v>33970</v>
      </c>
    </row>
    <row r="4" spans="1:8" x14ac:dyDescent="0.3">
      <c r="A4" s="1">
        <v>44498</v>
      </c>
      <c r="B4" t="s">
        <v>12</v>
      </c>
      <c r="C4" t="s">
        <v>13</v>
      </c>
      <c r="D4" t="s">
        <v>14</v>
      </c>
      <c r="E4" t="s">
        <v>15</v>
      </c>
      <c r="F4">
        <v>24</v>
      </c>
      <c r="G4">
        <v>790</v>
      </c>
      <c r="H4">
        <v>18960</v>
      </c>
    </row>
    <row r="5" spans="1:8" x14ac:dyDescent="0.3">
      <c r="A5" s="1">
        <v>44395</v>
      </c>
      <c r="B5" t="s">
        <v>16</v>
      </c>
      <c r="C5" t="s">
        <v>17</v>
      </c>
      <c r="D5" t="s">
        <v>18</v>
      </c>
      <c r="E5" t="s">
        <v>19</v>
      </c>
      <c r="F5">
        <v>38</v>
      </c>
      <c r="G5">
        <v>315</v>
      </c>
      <c r="H5">
        <v>11970</v>
      </c>
    </row>
    <row r="6" spans="1:8" x14ac:dyDescent="0.3">
      <c r="A6" s="1">
        <v>44233</v>
      </c>
      <c r="B6" t="s">
        <v>20</v>
      </c>
      <c r="C6" t="s">
        <v>17</v>
      </c>
      <c r="D6" t="s">
        <v>21</v>
      </c>
      <c r="E6" t="s">
        <v>19</v>
      </c>
      <c r="F6">
        <v>10</v>
      </c>
      <c r="G6">
        <v>75</v>
      </c>
      <c r="H6">
        <v>750</v>
      </c>
    </row>
    <row r="7" spans="1:8" x14ac:dyDescent="0.3">
      <c r="A7" s="1">
        <v>44528</v>
      </c>
      <c r="B7" t="s">
        <v>22</v>
      </c>
      <c r="C7" t="s">
        <v>9</v>
      </c>
      <c r="D7" t="s">
        <v>10</v>
      </c>
      <c r="E7" t="s">
        <v>23</v>
      </c>
      <c r="F7">
        <v>49</v>
      </c>
      <c r="G7">
        <v>1080</v>
      </c>
      <c r="H7">
        <v>52920</v>
      </c>
    </row>
    <row r="8" spans="1:8" x14ac:dyDescent="0.3">
      <c r="A8" s="1">
        <v>44491</v>
      </c>
      <c r="B8" t="s">
        <v>16</v>
      </c>
      <c r="C8" t="s">
        <v>17</v>
      </c>
      <c r="D8" t="s">
        <v>21</v>
      </c>
      <c r="E8" t="s">
        <v>24</v>
      </c>
      <c r="F8">
        <v>50</v>
      </c>
      <c r="G8">
        <v>315</v>
      </c>
      <c r="H8">
        <v>15750</v>
      </c>
    </row>
    <row r="9" spans="1:8" x14ac:dyDescent="0.3">
      <c r="A9" s="1">
        <v>44214</v>
      </c>
      <c r="B9" t="s">
        <v>25</v>
      </c>
      <c r="C9" t="s">
        <v>9</v>
      </c>
      <c r="D9" t="s">
        <v>18</v>
      </c>
      <c r="E9" t="s">
        <v>26</v>
      </c>
      <c r="F9">
        <v>28</v>
      </c>
      <c r="G9">
        <v>1500</v>
      </c>
      <c r="H9">
        <v>42000</v>
      </c>
    </row>
    <row r="10" spans="1:8" x14ac:dyDescent="0.3">
      <c r="A10" s="1">
        <v>44398</v>
      </c>
      <c r="B10" t="s">
        <v>12</v>
      </c>
      <c r="C10" t="s">
        <v>13</v>
      </c>
      <c r="D10" t="s">
        <v>10</v>
      </c>
      <c r="E10" t="s">
        <v>27</v>
      </c>
      <c r="F10">
        <v>3</v>
      </c>
      <c r="G10">
        <v>790</v>
      </c>
      <c r="H10">
        <v>2370</v>
      </c>
    </row>
    <row r="11" spans="1:8" x14ac:dyDescent="0.3">
      <c r="A11" s="1">
        <v>44301</v>
      </c>
      <c r="B11" t="s">
        <v>20</v>
      </c>
      <c r="C11" t="s">
        <v>17</v>
      </c>
      <c r="D11" t="s">
        <v>28</v>
      </c>
      <c r="E11" t="s">
        <v>15</v>
      </c>
      <c r="F11">
        <v>43</v>
      </c>
      <c r="G11">
        <v>75</v>
      </c>
      <c r="H11">
        <v>3225</v>
      </c>
    </row>
    <row r="12" spans="1:8" x14ac:dyDescent="0.3">
      <c r="A12" s="1">
        <v>44205</v>
      </c>
      <c r="B12" t="s">
        <v>16</v>
      </c>
      <c r="C12" t="s">
        <v>17</v>
      </c>
      <c r="D12" t="s">
        <v>21</v>
      </c>
      <c r="E12" t="s">
        <v>29</v>
      </c>
      <c r="F12">
        <v>15</v>
      </c>
      <c r="G12">
        <v>315</v>
      </c>
      <c r="H12">
        <v>4725</v>
      </c>
    </row>
    <row r="13" spans="1:8" x14ac:dyDescent="0.3">
      <c r="A13" s="1">
        <v>44419</v>
      </c>
      <c r="B13" t="s">
        <v>16</v>
      </c>
      <c r="C13" t="s">
        <v>17</v>
      </c>
      <c r="D13" t="s">
        <v>28</v>
      </c>
      <c r="E13" t="s">
        <v>27</v>
      </c>
      <c r="F13">
        <v>41</v>
      </c>
      <c r="G13">
        <v>315</v>
      </c>
      <c r="H13">
        <v>12915</v>
      </c>
    </row>
    <row r="14" spans="1:8" x14ac:dyDescent="0.3">
      <c r="A14" s="1">
        <v>44285</v>
      </c>
      <c r="B14" t="s">
        <v>25</v>
      </c>
      <c r="C14" t="s">
        <v>9</v>
      </c>
      <c r="D14" t="s">
        <v>30</v>
      </c>
      <c r="E14" t="s">
        <v>31</v>
      </c>
      <c r="F14">
        <v>8</v>
      </c>
      <c r="G14">
        <v>1500</v>
      </c>
      <c r="H14">
        <v>12000</v>
      </c>
    </row>
    <row r="15" spans="1:8" x14ac:dyDescent="0.3">
      <c r="A15" s="1">
        <v>44531</v>
      </c>
      <c r="B15" t="s">
        <v>20</v>
      </c>
      <c r="C15" t="s">
        <v>17</v>
      </c>
      <c r="D15" t="s">
        <v>32</v>
      </c>
      <c r="E15" t="s">
        <v>19</v>
      </c>
      <c r="F15">
        <v>11</v>
      </c>
      <c r="G15">
        <v>75</v>
      </c>
      <c r="H15">
        <v>825</v>
      </c>
    </row>
    <row r="16" spans="1:8" x14ac:dyDescent="0.3">
      <c r="A16" s="1">
        <v>44286</v>
      </c>
      <c r="B16" t="s">
        <v>8</v>
      </c>
      <c r="C16" t="s">
        <v>9</v>
      </c>
      <c r="D16" t="s">
        <v>14</v>
      </c>
      <c r="E16" t="s">
        <v>24</v>
      </c>
      <c r="F16">
        <v>29</v>
      </c>
      <c r="G16">
        <v>2001</v>
      </c>
      <c r="H16">
        <v>58029</v>
      </c>
    </row>
    <row r="17" spans="1:8" x14ac:dyDescent="0.3">
      <c r="A17" s="1">
        <v>44304</v>
      </c>
      <c r="B17" t="s">
        <v>16</v>
      </c>
      <c r="C17" t="s">
        <v>17</v>
      </c>
      <c r="D17" t="s">
        <v>32</v>
      </c>
      <c r="E17" t="s">
        <v>19</v>
      </c>
      <c r="F17">
        <v>31</v>
      </c>
      <c r="G17">
        <v>315</v>
      </c>
      <c r="H17">
        <v>9765</v>
      </c>
    </row>
    <row r="18" spans="1:8" x14ac:dyDescent="0.3">
      <c r="A18" s="1">
        <v>44416</v>
      </c>
      <c r="B18" t="s">
        <v>33</v>
      </c>
      <c r="C18" t="s">
        <v>17</v>
      </c>
      <c r="D18" t="s">
        <v>34</v>
      </c>
      <c r="E18" t="s">
        <v>19</v>
      </c>
      <c r="F18">
        <v>25</v>
      </c>
      <c r="G18">
        <v>350</v>
      </c>
      <c r="H18">
        <v>8750</v>
      </c>
    </row>
    <row r="19" spans="1:8" x14ac:dyDescent="0.3">
      <c r="A19" s="1">
        <v>44348</v>
      </c>
      <c r="B19" t="s">
        <v>35</v>
      </c>
      <c r="C19" t="s">
        <v>13</v>
      </c>
      <c r="D19" t="s">
        <v>14</v>
      </c>
      <c r="E19" t="s">
        <v>27</v>
      </c>
      <c r="F19">
        <v>37</v>
      </c>
      <c r="G19">
        <v>1575</v>
      </c>
      <c r="H19">
        <v>58275</v>
      </c>
    </row>
    <row r="20" spans="1:8" x14ac:dyDescent="0.3">
      <c r="A20" s="1">
        <v>44512</v>
      </c>
      <c r="B20" t="s">
        <v>35</v>
      </c>
      <c r="C20" t="s">
        <v>13</v>
      </c>
      <c r="D20" t="s">
        <v>32</v>
      </c>
      <c r="E20" t="s">
        <v>23</v>
      </c>
      <c r="F20">
        <v>19</v>
      </c>
      <c r="G20">
        <v>1575</v>
      </c>
      <c r="H20">
        <v>29925</v>
      </c>
    </row>
    <row r="21" spans="1:8" x14ac:dyDescent="0.3">
      <c r="A21" s="1">
        <v>44428</v>
      </c>
      <c r="B21" t="s">
        <v>33</v>
      </c>
      <c r="C21" t="s">
        <v>17</v>
      </c>
      <c r="D21" t="s">
        <v>18</v>
      </c>
      <c r="E21" t="s">
        <v>24</v>
      </c>
      <c r="F21">
        <v>31</v>
      </c>
      <c r="G21">
        <v>350</v>
      </c>
      <c r="H21">
        <v>10850</v>
      </c>
    </row>
    <row r="22" spans="1:8" x14ac:dyDescent="0.3">
      <c r="A22" s="1">
        <v>44313</v>
      </c>
      <c r="B22" t="s">
        <v>33</v>
      </c>
      <c r="C22" t="s">
        <v>17</v>
      </c>
      <c r="D22" t="s">
        <v>21</v>
      </c>
      <c r="E22" t="s">
        <v>23</v>
      </c>
      <c r="F22">
        <v>47</v>
      </c>
      <c r="G22">
        <v>350</v>
      </c>
      <c r="H22">
        <v>16450</v>
      </c>
    </row>
    <row r="23" spans="1:8" x14ac:dyDescent="0.3">
      <c r="A23" s="1">
        <v>44396</v>
      </c>
      <c r="B23" t="s">
        <v>33</v>
      </c>
      <c r="C23" t="s">
        <v>17</v>
      </c>
      <c r="D23" t="s">
        <v>34</v>
      </c>
      <c r="E23" t="s">
        <v>11</v>
      </c>
      <c r="F23">
        <v>31</v>
      </c>
      <c r="G23">
        <v>350</v>
      </c>
      <c r="H23">
        <v>10850</v>
      </c>
    </row>
    <row r="24" spans="1:8" x14ac:dyDescent="0.3">
      <c r="A24" s="1">
        <v>44266</v>
      </c>
      <c r="B24" t="s">
        <v>8</v>
      </c>
      <c r="C24" t="s">
        <v>9</v>
      </c>
      <c r="D24" t="s">
        <v>10</v>
      </c>
      <c r="E24" t="s">
        <v>23</v>
      </c>
      <c r="F24">
        <v>23</v>
      </c>
      <c r="G24">
        <v>2001</v>
      </c>
      <c r="H24">
        <v>46023</v>
      </c>
    </row>
    <row r="25" spans="1:8" x14ac:dyDescent="0.3">
      <c r="A25" s="1">
        <v>44333</v>
      </c>
      <c r="B25" t="s">
        <v>36</v>
      </c>
      <c r="C25" t="s">
        <v>13</v>
      </c>
      <c r="D25" t="s">
        <v>34</v>
      </c>
      <c r="E25" t="s">
        <v>37</v>
      </c>
      <c r="F25">
        <v>10</v>
      </c>
      <c r="G25">
        <v>950</v>
      </c>
      <c r="H25">
        <v>9500</v>
      </c>
    </row>
    <row r="26" spans="1:8" x14ac:dyDescent="0.3">
      <c r="A26" s="1">
        <v>44353</v>
      </c>
      <c r="B26" t="s">
        <v>36</v>
      </c>
      <c r="C26" t="s">
        <v>13</v>
      </c>
      <c r="D26" t="s">
        <v>38</v>
      </c>
      <c r="E26" t="s">
        <v>31</v>
      </c>
      <c r="F26">
        <v>26</v>
      </c>
      <c r="G26">
        <v>950</v>
      </c>
      <c r="H26">
        <v>24700</v>
      </c>
    </row>
    <row r="27" spans="1:8" x14ac:dyDescent="0.3">
      <c r="A27" s="1">
        <v>44206</v>
      </c>
      <c r="B27" t="s">
        <v>22</v>
      </c>
      <c r="C27" t="s">
        <v>9</v>
      </c>
      <c r="D27" t="s">
        <v>14</v>
      </c>
      <c r="E27" t="s">
        <v>11</v>
      </c>
      <c r="F27">
        <v>36</v>
      </c>
      <c r="G27">
        <v>1080</v>
      </c>
      <c r="H27">
        <v>38880</v>
      </c>
    </row>
    <row r="28" spans="1:8" x14ac:dyDescent="0.3">
      <c r="A28" s="1">
        <v>44494</v>
      </c>
      <c r="B28" t="s">
        <v>35</v>
      </c>
      <c r="C28" t="s">
        <v>13</v>
      </c>
      <c r="D28" t="s">
        <v>21</v>
      </c>
      <c r="E28" t="s">
        <v>37</v>
      </c>
      <c r="F28">
        <v>26</v>
      </c>
      <c r="G28">
        <v>1575</v>
      </c>
      <c r="H28">
        <v>40950</v>
      </c>
    </row>
    <row r="29" spans="1:8" x14ac:dyDescent="0.3">
      <c r="A29" s="1">
        <v>44474</v>
      </c>
      <c r="B29" t="s">
        <v>8</v>
      </c>
      <c r="C29" t="s">
        <v>9</v>
      </c>
      <c r="D29" t="s">
        <v>32</v>
      </c>
      <c r="E29" t="s">
        <v>24</v>
      </c>
      <c r="F29">
        <v>25</v>
      </c>
      <c r="G29">
        <v>2001</v>
      </c>
      <c r="H29">
        <v>50025</v>
      </c>
    </row>
    <row r="30" spans="1:8" x14ac:dyDescent="0.3">
      <c r="A30" s="1">
        <v>44197</v>
      </c>
      <c r="B30" t="s">
        <v>16</v>
      </c>
      <c r="C30" t="s">
        <v>17</v>
      </c>
      <c r="D30" t="s">
        <v>34</v>
      </c>
      <c r="E30" t="s">
        <v>37</v>
      </c>
      <c r="F30">
        <v>46</v>
      </c>
      <c r="G30">
        <v>315</v>
      </c>
      <c r="H30">
        <v>14490</v>
      </c>
    </row>
    <row r="31" spans="1:8" x14ac:dyDescent="0.3">
      <c r="A31" s="1">
        <v>44314</v>
      </c>
      <c r="B31" t="s">
        <v>8</v>
      </c>
      <c r="C31" t="s">
        <v>9</v>
      </c>
      <c r="D31" t="s">
        <v>30</v>
      </c>
      <c r="E31" t="s">
        <v>11</v>
      </c>
      <c r="F31">
        <v>28</v>
      </c>
      <c r="G31">
        <v>2001</v>
      </c>
      <c r="H31">
        <v>56028</v>
      </c>
    </row>
    <row r="32" spans="1:8" x14ac:dyDescent="0.3">
      <c r="A32" s="1">
        <v>44305</v>
      </c>
      <c r="B32" t="s">
        <v>16</v>
      </c>
      <c r="C32" t="s">
        <v>17</v>
      </c>
      <c r="D32" t="s">
        <v>39</v>
      </c>
      <c r="E32" t="s">
        <v>11</v>
      </c>
      <c r="F32">
        <v>41</v>
      </c>
      <c r="G32">
        <v>315</v>
      </c>
      <c r="H32">
        <v>12915</v>
      </c>
    </row>
    <row r="33" spans="1:8" x14ac:dyDescent="0.3">
      <c r="A33" s="1">
        <v>44442</v>
      </c>
      <c r="B33" t="s">
        <v>33</v>
      </c>
      <c r="C33" t="s">
        <v>17</v>
      </c>
      <c r="D33" t="s">
        <v>30</v>
      </c>
      <c r="E33" t="s">
        <v>15</v>
      </c>
      <c r="F33">
        <v>1</v>
      </c>
      <c r="G33">
        <v>350</v>
      </c>
      <c r="H33">
        <v>350</v>
      </c>
    </row>
    <row r="34" spans="1:8" x14ac:dyDescent="0.3">
      <c r="A34" s="1">
        <v>44363</v>
      </c>
      <c r="B34" t="s">
        <v>35</v>
      </c>
      <c r="C34" t="s">
        <v>13</v>
      </c>
      <c r="D34" t="s">
        <v>10</v>
      </c>
      <c r="E34" t="s">
        <v>24</v>
      </c>
      <c r="F34">
        <v>22</v>
      </c>
      <c r="G34">
        <v>1575</v>
      </c>
      <c r="H34">
        <v>34650</v>
      </c>
    </row>
    <row r="35" spans="1:8" x14ac:dyDescent="0.3">
      <c r="A35" s="1">
        <v>44258</v>
      </c>
      <c r="B35" t="s">
        <v>25</v>
      </c>
      <c r="C35" t="s">
        <v>9</v>
      </c>
      <c r="D35" t="s">
        <v>34</v>
      </c>
      <c r="E35" t="s">
        <v>24</v>
      </c>
      <c r="F35">
        <v>42</v>
      </c>
      <c r="G35">
        <v>1500</v>
      </c>
      <c r="H35">
        <v>63000</v>
      </c>
    </row>
    <row r="36" spans="1:8" x14ac:dyDescent="0.3">
      <c r="A36" s="1">
        <v>44279</v>
      </c>
      <c r="B36" t="s">
        <v>12</v>
      </c>
      <c r="C36" t="s">
        <v>13</v>
      </c>
      <c r="D36" t="s">
        <v>34</v>
      </c>
      <c r="E36" t="s">
        <v>26</v>
      </c>
      <c r="F36">
        <v>29</v>
      </c>
      <c r="G36">
        <v>790</v>
      </c>
      <c r="H36">
        <v>22910</v>
      </c>
    </row>
    <row r="37" spans="1:8" x14ac:dyDescent="0.3">
      <c r="A37" s="1">
        <v>44356</v>
      </c>
      <c r="B37" t="s">
        <v>20</v>
      </c>
      <c r="C37" t="s">
        <v>17</v>
      </c>
      <c r="D37" t="s">
        <v>21</v>
      </c>
      <c r="E37" t="s">
        <v>19</v>
      </c>
      <c r="F37">
        <v>49</v>
      </c>
      <c r="G37">
        <v>75</v>
      </c>
      <c r="H37">
        <v>3675</v>
      </c>
    </row>
    <row r="38" spans="1:8" x14ac:dyDescent="0.3">
      <c r="A38" s="1">
        <v>44378</v>
      </c>
      <c r="B38" t="s">
        <v>16</v>
      </c>
      <c r="C38" t="s">
        <v>17</v>
      </c>
      <c r="D38" t="s">
        <v>34</v>
      </c>
      <c r="E38" t="s">
        <v>26</v>
      </c>
      <c r="F38">
        <v>16</v>
      </c>
      <c r="G38">
        <v>315</v>
      </c>
      <c r="H38">
        <v>5040</v>
      </c>
    </row>
    <row r="39" spans="1:8" x14ac:dyDescent="0.3">
      <c r="A39" s="1">
        <v>44503</v>
      </c>
      <c r="B39" t="s">
        <v>20</v>
      </c>
      <c r="C39" t="s">
        <v>17</v>
      </c>
      <c r="D39" t="s">
        <v>21</v>
      </c>
      <c r="E39" t="s">
        <v>23</v>
      </c>
      <c r="F39">
        <v>38</v>
      </c>
      <c r="G39">
        <v>75</v>
      </c>
      <c r="H39">
        <v>2850</v>
      </c>
    </row>
    <row r="40" spans="1:8" x14ac:dyDescent="0.3">
      <c r="A40" s="1">
        <v>44466</v>
      </c>
      <c r="B40" t="s">
        <v>25</v>
      </c>
      <c r="C40" t="s">
        <v>9</v>
      </c>
      <c r="D40" t="s">
        <v>10</v>
      </c>
      <c r="E40" t="s">
        <v>31</v>
      </c>
      <c r="F40">
        <v>37</v>
      </c>
      <c r="G40">
        <v>1500</v>
      </c>
      <c r="H40">
        <v>55500</v>
      </c>
    </row>
    <row r="41" spans="1:8" x14ac:dyDescent="0.3">
      <c r="A41" s="1">
        <v>44402</v>
      </c>
      <c r="B41" t="s">
        <v>33</v>
      </c>
      <c r="C41" t="s">
        <v>17</v>
      </c>
      <c r="D41" t="s">
        <v>28</v>
      </c>
      <c r="E41" t="s">
        <v>15</v>
      </c>
      <c r="F41">
        <v>11</v>
      </c>
      <c r="G41">
        <v>350</v>
      </c>
      <c r="H41">
        <v>3850</v>
      </c>
    </row>
    <row r="42" spans="1:8" x14ac:dyDescent="0.3">
      <c r="A42" s="1">
        <v>44410</v>
      </c>
      <c r="B42" t="s">
        <v>35</v>
      </c>
      <c r="C42" t="s">
        <v>13</v>
      </c>
      <c r="D42" t="s">
        <v>18</v>
      </c>
      <c r="E42" t="s">
        <v>24</v>
      </c>
      <c r="F42">
        <v>29</v>
      </c>
      <c r="G42">
        <v>1575</v>
      </c>
      <c r="H42">
        <v>45675</v>
      </c>
    </row>
    <row r="43" spans="1:8" x14ac:dyDescent="0.3">
      <c r="A43" s="1">
        <v>44417</v>
      </c>
      <c r="B43" t="s">
        <v>36</v>
      </c>
      <c r="C43" t="s">
        <v>13</v>
      </c>
      <c r="D43" t="s">
        <v>34</v>
      </c>
      <c r="E43" t="s">
        <v>24</v>
      </c>
      <c r="F43">
        <v>30</v>
      </c>
      <c r="G43">
        <v>950</v>
      </c>
      <c r="H43">
        <v>28500</v>
      </c>
    </row>
    <row r="44" spans="1:8" x14ac:dyDescent="0.3">
      <c r="A44" s="1">
        <v>44399</v>
      </c>
      <c r="B44" t="s">
        <v>20</v>
      </c>
      <c r="C44" t="s">
        <v>17</v>
      </c>
      <c r="D44" t="s">
        <v>32</v>
      </c>
      <c r="E44" t="s">
        <v>31</v>
      </c>
      <c r="F44">
        <v>6</v>
      </c>
      <c r="G44">
        <v>75</v>
      </c>
      <c r="H44">
        <v>450</v>
      </c>
    </row>
    <row r="45" spans="1:8" x14ac:dyDescent="0.3">
      <c r="A45" s="1">
        <v>44483</v>
      </c>
      <c r="B45" t="s">
        <v>12</v>
      </c>
      <c r="C45" t="s">
        <v>13</v>
      </c>
      <c r="D45" t="s">
        <v>21</v>
      </c>
      <c r="E45" t="s">
        <v>27</v>
      </c>
      <c r="F45">
        <v>15</v>
      </c>
      <c r="G45">
        <v>790</v>
      </c>
      <c r="H45">
        <v>11850</v>
      </c>
    </row>
    <row r="46" spans="1:8" x14ac:dyDescent="0.3">
      <c r="A46" s="1">
        <v>44316</v>
      </c>
      <c r="B46" t="s">
        <v>33</v>
      </c>
      <c r="C46" t="s">
        <v>17</v>
      </c>
      <c r="D46" t="s">
        <v>28</v>
      </c>
      <c r="E46" t="s">
        <v>29</v>
      </c>
      <c r="F46">
        <v>22</v>
      </c>
      <c r="G46">
        <v>350</v>
      </c>
      <c r="H46">
        <v>7700</v>
      </c>
    </row>
    <row r="47" spans="1:8" x14ac:dyDescent="0.3">
      <c r="A47" s="1">
        <v>44421</v>
      </c>
      <c r="B47" t="s">
        <v>35</v>
      </c>
      <c r="C47" t="s">
        <v>13</v>
      </c>
      <c r="D47" t="s">
        <v>28</v>
      </c>
      <c r="E47" t="s">
        <v>31</v>
      </c>
      <c r="F47">
        <v>2</v>
      </c>
      <c r="G47">
        <v>1575</v>
      </c>
      <c r="H47">
        <v>3150</v>
      </c>
    </row>
    <row r="48" spans="1:8" x14ac:dyDescent="0.3">
      <c r="A48" s="1">
        <v>44267</v>
      </c>
      <c r="B48" t="s">
        <v>8</v>
      </c>
      <c r="C48" t="s">
        <v>9</v>
      </c>
      <c r="D48" t="s">
        <v>34</v>
      </c>
      <c r="E48" t="s">
        <v>23</v>
      </c>
      <c r="F48">
        <v>45</v>
      </c>
      <c r="G48">
        <v>2001</v>
      </c>
      <c r="H48">
        <v>90045</v>
      </c>
    </row>
    <row r="49" spans="1:8" x14ac:dyDescent="0.3">
      <c r="A49" s="1">
        <v>44243</v>
      </c>
      <c r="B49" t="s">
        <v>36</v>
      </c>
      <c r="C49" t="s">
        <v>13</v>
      </c>
      <c r="D49" t="s">
        <v>30</v>
      </c>
      <c r="E49" t="s">
        <v>24</v>
      </c>
      <c r="F49">
        <v>38</v>
      </c>
      <c r="G49">
        <v>950</v>
      </c>
      <c r="H49">
        <v>36100</v>
      </c>
    </row>
    <row r="50" spans="1:8" x14ac:dyDescent="0.3">
      <c r="A50" s="1">
        <v>44406</v>
      </c>
      <c r="B50" t="s">
        <v>16</v>
      </c>
      <c r="C50" t="s">
        <v>17</v>
      </c>
      <c r="D50" t="s">
        <v>14</v>
      </c>
      <c r="E50" t="s">
        <v>15</v>
      </c>
      <c r="F50">
        <v>1</v>
      </c>
      <c r="G50">
        <v>315</v>
      </c>
      <c r="H50">
        <v>315</v>
      </c>
    </row>
    <row r="51" spans="1:8" x14ac:dyDescent="0.3">
      <c r="A51" s="1">
        <v>44455</v>
      </c>
      <c r="B51" t="s">
        <v>16</v>
      </c>
      <c r="C51" t="s">
        <v>17</v>
      </c>
      <c r="D51" t="s">
        <v>38</v>
      </c>
      <c r="E51" t="s">
        <v>29</v>
      </c>
      <c r="F51">
        <v>19</v>
      </c>
      <c r="G51">
        <v>315</v>
      </c>
      <c r="H51">
        <v>5985</v>
      </c>
    </row>
    <row r="52" spans="1:8" x14ac:dyDescent="0.3">
      <c r="A52" s="1">
        <v>44502</v>
      </c>
      <c r="B52" t="s">
        <v>25</v>
      </c>
      <c r="C52" t="s">
        <v>9</v>
      </c>
      <c r="D52" t="s">
        <v>18</v>
      </c>
      <c r="E52" t="s">
        <v>29</v>
      </c>
      <c r="F52">
        <v>47</v>
      </c>
      <c r="G52">
        <v>1500</v>
      </c>
      <c r="H52">
        <v>70500</v>
      </c>
    </row>
    <row r="53" spans="1:8" x14ac:dyDescent="0.3">
      <c r="A53" s="1">
        <v>44268</v>
      </c>
      <c r="B53" t="s">
        <v>25</v>
      </c>
      <c r="C53" t="s">
        <v>9</v>
      </c>
      <c r="D53" t="s">
        <v>18</v>
      </c>
      <c r="E53" t="s">
        <v>11</v>
      </c>
      <c r="F53">
        <v>27</v>
      </c>
      <c r="G53">
        <v>1500</v>
      </c>
      <c r="H53">
        <v>40500</v>
      </c>
    </row>
    <row r="54" spans="1:8" x14ac:dyDescent="0.3">
      <c r="A54" s="1">
        <v>44211</v>
      </c>
      <c r="B54" t="s">
        <v>20</v>
      </c>
      <c r="C54" t="s">
        <v>17</v>
      </c>
      <c r="D54" t="s">
        <v>10</v>
      </c>
      <c r="E54" t="s">
        <v>27</v>
      </c>
      <c r="F54">
        <v>27</v>
      </c>
      <c r="G54">
        <v>75</v>
      </c>
      <c r="H54">
        <v>2025</v>
      </c>
    </row>
    <row r="55" spans="1:8" x14ac:dyDescent="0.3">
      <c r="A55" s="1">
        <v>44388</v>
      </c>
      <c r="B55" t="s">
        <v>22</v>
      </c>
      <c r="C55" t="s">
        <v>9</v>
      </c>
      <c r="D55" t="s">
        <v>39</v>
      </c>
      <c r="E55" t="s">
        <v>31</v>
      </c>
      <c r="F55">
        <v>36</v>
      </c>
      <c r="G55">
        <v>1080</v>
      </c>
      <c r="H55">
        <v>38880</v>
      </c>
    </row>
    <row r="56" spans="1:8" x14ac:dyDescent="0.3">
      <c r="A56" s="1">
        <v>44328</v>
      </c>
      <c r="B56" t="s">
        <v>20</v>
      </c>
      <c r="C56" t="s">
        <v>17</v>
      </c>
      <c r="D56" t="s">
        <v>32</v>
      </c>
      <c r="E56" t="s">
        <v>24</v>
      </c>
      <c r="F56">
        <v>23</v>
      </c>
      <c r="G56">
        <v>75</v>
      </c>
      <c r="H56">
        <v>1725</v>
      </c>
    </row>
    <row r="57" spans="1:8" x14ac:dyDescent="0.3">
      <c r="A57" s="1">
        <v>44247</v>
      </c>
      <c r="B57" t="s">
        <v>35</v>
      </c>
      <c r="C57" t="s">
        <v>13</v>
      </c>
      <c r="D57" t="s">
        <v>38</v>
      </c>
      <c r="E57" t="s">
        <v>29</v>
      </c>
      <c r="F57">
        <v>17</v>
      </c>
      <c r="G57">
        <v>1575</v>
      </c>
      <c r="H57">
        <v>26775</v>
      </c>
    </row>
    <row r="58" spans="1:8" x14ac:dyDescent="0.3">
      <c r="A58" s="1">
        <v>44300</v>
      </c>
      <c r="B58" t="s">
        <v>22</v>
      </c>
      <c r="C58" t="s">
        <v>9</v>
      </c>
      <c r="D58" t="s">
        <v>38</v>
      </c>
      <c r="E58" t="s">
        <v>23</v>
      </c>
      <c r="F58">
        <v>29</v>
      </c>
      <c r="G58">
        <v>1080</v>
      </c>
      <c r="H58">
        <v>31320</v>
      </c>
    </row>
    <row r="59" spans="1:8" x14ac:dyDescent="0.3">
      <c r="A59" s="1">
        <v>44472</v>
      </c>
      <c r="B59" t="s">
        <v>35</v>
      </c>
      <c r="C59" t="s">
        <v>13</v>
      </c>
      <c r="D59" t="s">
        <v>38</v>
      </c>
      <c r="E59" t="s">
        <v>11</v>
      </c>
      <c r="F59">
        <v>8</v>
      </c>
      <c r="G59">
        <v>1575</v>
      </c>
      <c r="H59">
        <v>12600</v>
      </c>
    </row>
    <row r="60" spans="1:8" x14ac:dyDescent="0.3">
      <c r="A60" s="1">
        <v>44552</v>
      </c>
      <c r="B60" t="s">
        <v>33</v>
      </c>
      <c r="C60" t="s">
        <v>17</v>
      </c>
      <c r="D60" t="s">
        <v>30</v>
      </c>
      <c r="E60" t="s">
        <v>31</v>
      </c>
      <c r="F60">
        <v>16</v>
      </c>
      <c r="G60">
        <v>350</v>
      </c>
      <c r="H60">
        <v>5600</v>
      </c>
    </row>
    <row r="61" spans="1:8" x14ac:dyDescent="0.3">
      <c r="A61" s="1">
        <v>44264</v>
      </c>
      <c r="B61" t="s">
        <v>22</v>
      </c>
      <c r="C61" t="s">
        <v>9</v>
      </c>
      <c r="D61" t="s">
        <v>21</v>
      </c>
      <c r="E61" t="s">
        <v>15</v>
      </c>
      <c r="F61">
        <v>41</v>
      </c>
      <c r="G61">
        <v>1080</v>
      </c>
      <c r="H61">
        <v>44280</v>
      </c>
    </row>
    <row r="62" spans="1:8" x14ac:dyDescent="0.3">
      <c r="A62" s="1">
        <v>44297</v>
      </c>
      <c r="B62" t="s">
        <v>35</v>
      </c>
      <c r="C62" t="s">
        <v>13</v>
      </c>
      <c r="D62" t="s">
        <v>28</v>
      </c>
      <c r="E62" t="s">
        <v>15</v>
      </c>
      <c r="F62">
        <v>18</v>
      </c>
      <c r="G62">
        <v>1575</v>
      </c>
      <c r="H62">
        <v>28350</v>
      </c>
    </row>
    <row r="63" spans="1:8" x14ac:dyDescent="0.3">
      <c r="A63" s="1">
        <v>44534</v>
      </c>
      <c r="B63" t="s">
        <v>8</v>
      </c>
      <c r="C63" t="s">
        <v>9</v>
      </c>
      <c r="D63" t="s">
        <v>32</v>
      </c>
      <c r="E63" t="s">
        <v>26</v>
      </c>
      <c r="F63">
        <v>9</v>
      </c>
      <c r="G63">
        <v>2001</v>
      </c>
      <c r="H63">
        <v>18009</v>
      </c>
    </row>
    <row r="64" spans="1:8" x14ac:dyDescent="0.3">
      <c r="A64" s="1">
        <v>44394</v>
      </c>
      <c r="B64" t="s">
        <v>33</v>
      </c>
      <c r="C64" t="s">
        <v>17</v>
      </c>
      <c r="D64" t="s">
        <v>18</v>
      </c>
      <c r="E64" t="s">
        <v>26</v>
      </c>
      <c r="F64">
        <v>6</v>
      </c>
      <c r="G64">
        <v>350</v>
      </c>
      <c r="H64">
        <v>2100</v>
      </c>
    </row>
    <row r="65" spans="1:8" x14ac:dyDescent="0.3">
      <c r="A65" s="1">
        <v>44432</v>
      </c>
      <c r="B65" t="s">
        <v>8</v>
      </c>
      <c r="C65" t="s">
        <v>9</v>
      </c>
      <c r="D65" t="s">
        <v>34</v>
      </c>
      <c r="E65" t="s">
        <v>15</v>
      </c>
      <c r="F65">
        <v>33</v>
      </c>
      <c r="G65">
        <v>2001</v>
      </c>
      <c r="H65">
        <v>66033</v>
      </c>
    </row>
    <row r="66" spans="1:8" x14ac:dyDescent="0.3">
      <c r="A66" s="1">
        <v>44235</v>
      </c>
      <c r="B66" t="s">
        <v>25</v>
      </c>
      <c r="C66" t="s">
        <v>9</v>
      </c>
      <c r="D66" t="s">
        <v>21</v>
      </c>
      <c r="E66" t="s">
        <v>31</v>
      </c>
      <c r="F66">
        <v>48</v>
      </c>
      <c r="G66">
        <v>1500</v>
      </c>
      <c r="H66">
        <v>72000</v>
      </c>
    </row>
    <row r="67" spans="1:8" x14ac:dyDescent="0.3">
      <c r="A67" s="1">
        <v>44447</v>
      </c>
      <c r="B67" t="s">
        <v>12</v>
      </c>
      <c r="C67" t="s">
        <v>13</v>
      </c>
      <c r="D67" t="s">
        <v>14</v>
      </c>
      <c r="E67" t="s">
        <v>31</v>
      </c>
      <c r="F67">
        <v>10</v>
      </c>
      <c r="G67">
        <v>790</v>
      </c>
      <c r="H67">
        <v>7900</v>
      </c>
    </row>
    <row r="68" spans="1:8" x14ac:dyDescent="0.3">
      <c r="A68" s="1">
        <v>44345</v>
      </c>
      <c r="B68" t="s">
        <v>35</v>
      </c>
      <c r="C68" t="s">
        <v>13</v>
      </c>
      <c r="D68" t="s">
        <v>10</v>
      </c>
      <c r="E68" t="s">
        <v>23</v>
      </c>
      <c r="F68">
        <v>4</v>
      </c>
      <c r="G68">
        <v>1575</v>
      </c>
      <c r="H68">
        <v>6300</v>
      </c>
    </row>
    <row r="69" spans="1:8" x14ac:dyDescent="0.3">
      <c r="A69" s="1">
        <v>44258</v>
      </c>
      <c r="B69" t="s">
        <v>16</v>
      </c>
      <c r="C69" t="s">
        <v>17</v>
      </c>
      <c r="D69" t="s">
        <v>21</v>
      </c>
      <c r="E69" t="s">
        <v>27</v>
      </c>
      <c r="F69">
        <v>48</v>
      </c>
      <c r="G69">
        <v>315</v>
      </c>
      <c r="H69">
        <v>15120</v>
      </c>
    </row>
    <row r="70" spans="1:8" x14ac:dyDescent="0.3">
      <c r="A70" s="1">
        <v>44328</v>
      </c>
      <c r="B70" t="s">
        <v>8</v>
      </c>
      <c r="C70" t="s">
        <v>9</v>
      </c>
      <c r="D70" t="s">
        <v>18</v>
      </c>
      <c r="E70" t="s">
        <v>31</v>
      </c>
      <c r="F70">
        <v>20</v>
      </c>
      <c r="G70">
        <v>2001</v>
      </c>
      <c r="H70">
        <v>40020</v>
      </c>
    </row>
    <row r="71" spans="1:8" x14ac:dyDescent="0.3">
      <c r="A71" s="1">
        <v>44456</v>
      </c>
      <c r="B71" t="s">
        <v>36</v>
      </c>
      <c r="C71" t="s">
        <v>13</v>
      </c>
      <c r="D71" t="s">
        <v>18</v>
      </c>
      <c r="E71" t="s">
        <v>23</v>
      </c>
      <c r="F71">
        <v>20</v>
      </c>
      <c r="G71">
        <v>950</v>
      </c>
      <c r="H71">
        <v>19000</v>
      </c>
    </row>
    <row r="72" spans="1:8" x14ac:dyDescent="0.3">
      <c r="A72" s="1">
        <v>44388</v>
      </c>
      <c r="B72" t="s">
        <v>35</v>
      </c>
      <c r="C72" t="s">
        <v>13</v>
      </c>
      <c r="D72" t="s">
        <v>21</v>
      </c>
      <c r="E72" t="s">
        <v>15</v>
      </c>
      <c r="F72">
        <v>45</v>
      </c>
      <c r="G72">
        <v>1575</v>
      </c>
      <c r="H72">
        <v>70875</v>
      </c>
    </row>
    <row r="73" spans="1:8" x14ac:dyDescent="0.3">
      <c r="A73" s="1">
        <v>44352</v>
      </c>
      <c r="B73" t="s">
        <v>25</v>
      </c>
      <c r="C73" t="s">
        <v>9</v>
      </c>
      <c r="D73" t="s">
        <v>18</v>
      </c>
      <c r="E73" t="s">
        <v>19</v>
      </c>
      <c r="F73">
        <v>32</v>
      </c>
      <c r="G73">
        <v>1500</v>
      </c>
      <c r="H73">
        <v>48000</v>
      </c>
    </row>
    <row r="74" spans="1:8" x14ac:dyDescent="0.3">
      <c r="A74" s="1">
        <v>44403</v>
      </c>
      <c r="B74" t="s">
        <v>16</v>
      </c>
      <c r="C74" t="s">
        <v>17</v>
      </c>
      <c r="D74" t="s">
        <v>21</v>
      </c>
      <c r="E74" t="s">
        <v>37</v>
      </c>
      <c r="F74">
        <v>31</v>
      </c>
      <c r="G74">
        <v>315</v>
      </c>
      <c r="H74">
        <v>9765</v>
      </c>
    </row>
    <row r="75" spans="1:8" x14ac:dyDescent="0.3">
      <c r="A75" s="1">
        <v>44457</v>
      </c>
      <c r="B75" t="s">
        <v>20</v>
      </c>
      <c r="C75" t="s">
        <v>17</v>
      </c>
      <c r="D75" t="s">
        <v>38</v>
      </c>
      <c r="E75" t="s">
        <v>37</v>
      </c>
      <c r="F75">
        <v>1</v>
      </c>
      <c r="G75">
        <v>75</v>
      </c>
      <c r="H75">
        <v>75</v>
      </c>
    </row>
    <row r="76" spans="1:8" x14ac:dyDescent="0.3">
      <c r="A76" s="1">
        <v>44248</v>
      </c>
      <c r="B76" t="s">
        <v>36</v>
      </c>
      <c r="C76" t="s">
        <v>13</v>
      </c>
      <c r="D76" t="s">
        <v>18</v>
      </c>
      <c r="E76" t="s">
        <v>23</v>
      </c>
      <c r="F76">
        <v>5</v>
      </c>
      <c r="G76">
        <v>950</v>
      </c>
      <c r="H76">
        <v>4750</v>
      </c>
    </row>
    <row r="77" spans="1:8" x14ac:dyDescent="0.3">
      <c r="A77" s="1">
        <v>44543</v>
      </c>
      <c r="B77" t="s">
        <v>16</v>
      </c>
      <c r="C77" t="s">
        <v>17</v>
      </c>
      <c r="D77" t="s">
        <v>32</v>
      </c>
      <c r="E77" t="s">
        <v>24</v>
      </c>
      <c r="F77">
        <v>31</v>
      </c>
      <c r="G77">
        <v>315</v>
      </c>
      <c r="H77">
        <v>9765</v>
      </c>
    </row>
    <row r="78" spans="1:8" x14ac:dyDescent="0.3">
      <c r="A78" s="1">
        <v>44291</v>
      </c>
      <c r="B78" t="s">
        <v>20</v>
      </c>
      <c r="C78" t="s">
        <v>17</v>
      </c>
      <c r="D78" t="s">
        <v>21</v>
      </c>
      <c r="E78" t="s">
        <v>27</v>
      </c>
      <c r="F78">
        <v>41</v>
      </c>
      <c r="G78">
        <v>75</v>
      </c>
      <c r="H78">
        <v>3075</v>
      </c>
    </row>
    <row r="79" spans="1:8" x14ac:dyDescent="0.3">
      <c r="A79" s="1">
        <v>44284</v>
      </c>
      <c r="B79" t="s">
        <v>8</v>
      </c>
      <c r="C79" t="s">
        <v>9</v>
      </c>
      <c r="D79" t="s">
        <v>32</v>
      </c>
      <c r="E79" t="s">
        <v>15</v>
      </c>
      <c r="F79">
        <v>6</v>
      </c>
      <c r="G79">
        <v>2001</v>
      </c>
      <c r="H79">
        <v>12006</v>
      </c>
    </row>
    <row r="80" spans="1:8" x14ac:dyDescent="0.3">
      <c r="A80" s="1">
        <v>44486</v>
      </c>
      <c r="B80" t="s">
        <v>33</v>
      </c>
      <c r="C80" t="s">
        <v>17</v>
      </c>
      <c r="D80" t="s">
        <v>32</v>
      </c>
      <c r="E80" t="s">
        <v>23</v>
      </c>
      <c r="F80">
        <v>28</v>
      </c>
      <c r="G80">
        <v>350</v>
      </c>
      <c r="H80">
        <v>9800</v>
      </c>
    </row>
    <row r="81" spans="1:8" x14ac:dyDescent="0.3">
      <c r="A81" s="1">
        <v>44463</v>
      </c>
      <c r="B81" t="s">
        <v>16</v>
      </c>
      <c r="C81" t="s">
        <v>17</v>
      </c>
      <c r="D81" t="s">
        <v>32</v>
      </c>
      <c r="E81" t="s">
        <v>31</v>
      </c>
      <c r="F81">
        <v>35</v>
      </c>
      <c r="G81">
        <v>315</v>
      </c>
      <c r="H81">
        <v>11025</v>
      </c>
    </row>
    <row r="82" spans="1:8" x14ac:dyDescent="0.3">
      <c r="A82" s="1">
        <v>44312</v>
      </c>
      <c r="B82" t="s">
        <v>20</v>
      </c>
      <c r="C82" t="s">
        <v>17</v>
      </c>
      <c r="D82" t="s">
        <v>14</v>
      </c>
      <c r="E82" t="s">
        <v>26</v>
      </c>
      <c r="F82">
        <v>42</v>
      </c>
      <c r="G82">
        <v>75</v>
      </c>
      <c r="H82">
        <v>3150</v>
      </c>
    </row>
    <row r="83" spans="1:8" x14ac:dyDescent="0.3">
      <c r="A83" s="1">
        <v>44490</v>
      </c>
      <c r="B83" t="s">
        <v>36</v>
      </c>
      <c r="C83" t="s">
        <v>13</v>
      </c>
      <c r="D83" t="s">
        <v>30</v>
      </c>
      <c r="E83" t="s">
        <v>29</v>
      </c>
      <c r="F83">
        <v>44</v>
      </c>
      <c r="G83">
        <v>950</v>
      </c>
      <c r="H83">
        <v>41800</v>
      </c>
    </row>
    <row r="84" spans="1:8" x14ac:dyDescent="0.3">
      <c r="A84" s="1">
        <v>44215</v>
      </c>
      <c r="B84" t="s">
        <v>36</v>
      </c>
      <c r="C84" t="s">
        <v>13</v>
      </c>
      <c r="D84" t="s">
        <v>39</v>
      </c>
      <c r="E84" t="s">
        <v>27</v>
      </c>
      <c r="F84">
        <v>8</v>
      </c>
      <c r="G84">
        <v>950</v>
      </c>
      <c r="H84">
        <v>7600</v>
      </c>
    </row>
    <row r="85" spans="1:8" x14ac:dyDescent="0.3">
      <c r="A85" s="1">
        <v>44328</v>
      </c>
      <c r="B85" t="s">
        <v>33</v>
      </c>
      <c r="C85" t="s">
        <v>17</v>
      </c>
      <c r="D85" t="s">
        <v>30</v>
      </c>
      <c r="E85" t="s">
        <v>15</v>
      </c>
      <c r="F85">
        <v>49</v>
      </c>
      <c r="G85">
        <v>350</v>
      </c>
      <c r="H85">
        <v>17150</v>
      </c>
    </row>
    <row r="86" spans="1:8" x14ac:dyDescent="0.3">
      <c r="A86" s="1">
        <v>44506</v>
      </c>
      <c r="B86" t="s">
        <v>22</v>
      </c>
      <c r="C86" t="s">
        <v>9</v>
      </c>
      <c r="D86" t="s">
        <v>32</v>
      </c>
      <c r="E86" t="s">
        <v>23</v>
      </c>
      <c r="F86">
        <v>24</v>
      </c>
      <c r="G86">
        <v>1080</v>
      </c>
      <c r="H86">
        <v>25920</v>
      </c>
    </row>
    <row r="87" spans="1:8" x14ac:dyDescent="0.3">
      <c r="A87" s="1">
        <v>44269</v>
      </c>
      <c r="B87" t="s">
        <v>36</v>
      </c>
      <c r="C87" t="s">
        <v>13</v>
      </c>
      <c r="D87" t="s">
        <v>32</v>
      </c>
      <c r="E87" t="s">
        <v>15</v>
      </c>
      <c r="F87">
        <v>19</v>
      </c>
      <c r="G87">
        <v>950</v>
      </c>
      <c r="H87">
        <v>18050</v>
      </c>
    </row>
    <row r="88" spans="1:8" x14ac:dyDescent="0.3">
      <c r="A88" s="1">
        <v>44336</v>
      </c>
      <c r="B88" t="s">
        <v>8</v>
      </c>
      <c r="C88" t="s">
        <v>9</v>
      </c>
      <c r="D88" t="s">
        <v>32</v>
      </c>
      <c r="E88" t="s">
        <v>26</v>
      </c>
      <c r="F88">
        <v>8</v>
      </c>
      <c r="G88">
        <v>2001</v>
      </c>
      <c r="H88">
        <v>16008</v>
      </c>
    </row>
    <row r="89" spans="1:8" x14ac:dyDescent="0.3">
      <c r="A89" s="1">
        <v>44525</v>
      </c>
      <c r="B89" t="s">
        <v>8</v>
      </c>
      <c r="C89" t="s">
        <v>9</v>
      </c>
      <c r="D89" t="s">
        <v>21</v>
      </c>
      <c r="E89" t="s">
        <v>19</v>
      </c>
      <c r="F89">
        <v>40</v>
      </c>
      <c r="G89">
        <v>2001</v>
      </c>
      <c r="H89">
        <v>80040</v>
      </c>
    </row>
    <row r="90" spans="1:8" x14ac:dyDescent="0.3">
      <c r="A90" s="1">
        <v>44552</v>
      </c>
      <c r="B90" t="s">
        <v>36</v>
      </c>
      <c r="C90" t="s">
        <v>13</v>
      </c>
      <c r="D90" t="s">
        <v>39</v>
      </c>
      <c r="E90" t="s">
        <v>31</v>
      </c>
      <c r="F90">
        <v>15</v>
      </c>
      <c r="G90">
        <v>950</v>
      </c>
      <c r="H90">
        <v>14250</v>
      </c>
    </row>
    <row r="91" spans="1:8" x14ac:dyDescent="0.3">
      <c r="A91" s="1">
        <v>44341</v>
      </c>
      <c r="B91" t="s">
        <v>33</v>
      </c>
      <c r="C91" t="s">
        <v>17</v>
      </c>
      <c r="D91" t="s">
        <v>18</v>
      </c>
      <c r="E91" t="s">
        <v>27</v>
      </c>
      <c r="F91">
        <v>47</v>
      </c>
      <c r="G91">
        <v>350</v>
      </c>
      <c r="H91">
        <v>16450</v>
      </c>
    </row>
    <row r="92" spans="1:8" x14ac:dyDescent="0.3">
      <c r="A92" s="1">
        <v>44522</v>
      </c>
      <c r="B92" t="s">
        <v>16</v>
      </c>
      <c r="C92" t="s">
        <v>17</v>
      </c>
      <c r="D92" t="s">
        <v>21</v>
      </c>
      <c r="E92" t="s">
        <v>37</v>
      </c>
      <c r="F92">
        <v>30</v>
      </c>
      <c r="G92">
        <v>315</v>
      </c>
      <c r="H92">
        <v>9450</v>
      </c>
    </row>
    <row r="93" spans="1:8" x14ac:dyDescent="0.3">
      <c r="A93" s="1">
        <v>44561</v>
      </c>
      <c r="B93" t="s">
        <v>16</v>
      </c>
      <c r="C93" t="s">
        <v>17</v>
      </c>
      <c r="D93" t="s">
        <v>34</v>
      </c>
      <c r="E93" t="s">
        <v>23</v>
      </c>
      <c r="F93">
        <v>39</v>
      </c>
      <c r="G93">
        <v>315</v>
      </c>
      <c r="H93">
        <v>12285</v>
      </c>
    </row>
    <row r="94" spans="1:8" x14ac:dyDescent="0.3">
      <c r="A94" s="1">
        <v>44469</v>
      </c>
      <c r="B94" t="s">
        <v>22</v>
      </c>
      <c r="C94" t="s">
        <v>9</v>
      </c>
      <c r="D94" t="s">
        <v>18</v>
      </c>
      <c r="E94" t="s">
        <v>31</v>
      </c>
      <c r="F94">
        <v>24</v>
      </c>
      <c r="G94">
        <v>1080</v>
      </c>
      <c r="H94">
        <v>25920</v>
      </c>
    </row>
    <row r="95" spans="1:8" x14ac:dyDescent="0.3">
      <c r="A95" s="1">
        <v>44285</v>
      </c>
      <c r="B95" t="s">
        <v>8</v>
      </c>
      <c r="C95" t="s">
        <v>9</v>
      </c>
      <c r="D95" t="s">
        <v>39</v>
      </c>
      <c r="E95" t="s">
        <v>26</v>
      </c>
      <c r="F95">
        <v>5</v>
      </c>
      <c r="G95">
        <v>2001</v>
      </c>
      <c r="H95">
        <v>10005</v>
      </c>
    </row>
    <row r="96" spans="1:8" x14ac:dyDescent="0.3">
      <c r="A96" s="1">
        <v>44392</v>
      </c>
      <c r="B96" t="s">
        <v>35</v>
      </c>
      <c r="C96" t="s">
        <v>13</v>
      </c>
      <c r="D96" t="s">
        <v>14</v>
      </c>
      <c r="E96" t="s">
        <v>37</v>
      </c>
      <c r="F96">
        <v>21</v>
      </c>
      <c r="G96">
        <v>1575</v>
      </c>
      <c r="H96">
        <v>33075</v>
      </c>
    </row>
    <row r="97" spans="1:8" x14ac:dyDescent="0.3">
      <c r="A97" s="1">
        <v>44490</v>
      </c>
      <c r="B97" t="s">
        <v>36</v>
      </c>
      <c r="C97" t="s">
        <v>13</v>
      </c>
      <c r="D97" t="s">
        <v>38</v>
      </c>
      <c r="E97" t="s">
        <v>31</v>
      </c>
      <c r="F97">
        <v>29</v>
      </c>
      <c r="G97">
        <v>950</v>
      </c>
      <c r="H97">
        <v>27550</v>
      </c>
    </row>
    <row r="98" spans="1:8" x14ac:dyDescent="0.3">
      <c r="A98" s="1">
        <v>44280</v>
      </c>
      <c r="B98" t="s">
        <v>33</v>
      </c>
      <c r="C98" t="s">
        <v>17</v>
      </c>
      <c r="D98" t="s">
        <v>39</v>
      </c>
      <c r="E98" t="s">
        <v>26</v>
      </c>
      <c r="F98">
        <v>34</v>
      </c>
      <c r="G98">
        <v>350</v>
      </c>
      <c r="H98">
        <v>11900</v>
      </c>
    </row>
    <row r="99" spans="1:8" x14ac:dyDescent="0.3">
      <c r="A99" s="1">
        <v>44532</v>
      </c>
      <c r="B99" t="s">
        <v>12</v>
      </c>
      <c r="C99" t="s">
        <v>13</v>
      </c>
      <c r="D99" t="s">
        <v>32</v>
      </c>
      <c r="E99" t="s">
        <v>29</v>
      </c>
      <c r="F99">
        <v>31</v>
      </c>
      <c r="G99">
        <v>790</v>
      </c>
      <c r="H99">
        <v>24490</v>
      </c>
    </row>
    <row r="100" spans="1:8" x14ac:dyDescent="0.3">
      <c r="A100" s="1">
        <v>44361</v>
      </c>
      <c r="B100" t="s">
        <v>22</v>
      </c>
      <c r="C100" t="s">
        <v>9</v>
      </c>
      <c r="D100" t="s">
        <v>38</v>
      </c>
      <c r="E100" t="s">
        <v>11</v>
      </c>
      <c r="F100">
        <v>38</v>
      </c>
      <c r="G100">
        <v>1080</v>
      </c>
      <c r="H100">
        <v>41040</v>
      </c>
    </row>
    <row r="101" spans="1:8" x14ac:dyDescent="0.3">
      <c r="A101" s="1">
        <v>44202</v>
      </c>
      <c r="B101" t="s">
        <v>36</v>
      </c>
      <c r="C101" t="s">
        <v>13</v>
      </c>
      <c r="D101" t="s">
        <v>32</v>
      </c>
      <c r="E101" t="s">
        <v>15</v>
      </c>
      <c r="F101">
        <v>37</v>
      </c>
      <c r="G101">
        <v>950</v>
      </c>
      <c r="H101">
        <v>35150</v>
      </c>
    </row>
    <row r="102" spans="1:8" x14ac:dyDescent="0.3">
      <c r="A102" s="1">
        <v>44248</v>
      </c>
      <c r="B102" t="s">
        <v>36</v>
      </c>
      <c r="C102" t="s">
        <v>13</v>
      </c>
      <c r="D102" t="s">
        <v>28</v>
      </c>
      <c r="E102" t="s">
        <v>15</v>
      </c>
      <c r="F102">
        <v>32</v>
      </c>
      <c r="G102">
        <v>950</v>
      </c>
      <c r="H102">
        <v>30400</v>
      </c>
    </row>
    <row r="103" spans="1:8" x14ac:dyDescent="0.3">
      <c r="A103" s="1">
        <v>44515</v>
      </c>
      <c r="B103" t="s">
        <v>20</v>
      </c>
      <c r="C103" t="s">
        <v>17</v>
      </c>
      <c r="D103" t="s">
        <v>34</v>
      </c>
      <c r="E103" t="s">
        <v>31</v>
      </c>
      <c r="F103">
        <v>7</v>
      </c>
      <c r="G103">
        <v>75</v>
      </c>
      <c r="H103">
        <v>525</v>
      </c>
    </row>
    <row r="104" spans="1:8" x14ac:dyDescent="0.3">
      <c r="A104" s="1">
        <v>44333</v>
      </c>
      <c r="B104" t="s">
        <v>22</v>
      </c>
      <c r="C104" t="s">
        <v>9</v>
      </c>
      <c r="D104" t="s">
        <v>10</v>
      </c>
      <c r="E104" t="s">
        <v>29</v>
      </c>
      <c r="F104">
        <v>22</v>
      </c>
      <c r="G104">
        <v>1080</v>
      </c>
      <c r="H104">
        <v>23760</v>
      </c>
    </row>
    <row r="105" spans="1:8" x14ac:dyDescent="0.3">
      <c r="A105" s="1">
        <v>44393</v>
      </c>
      <c r="B105" t="s">
        <v>20</v>
      </c>
      <c r="C105" t="s">
        <v>17</v>
      </c>
      <c r="D105" t="s">
        <v>21</v>
      </c>
      <c r="E105" t="s">
        <v>27</v>
      </c>
      <c r="F105">
        <v>21</v>
      </c>
      <c r="G105">
        <v>75</v>
      </c>
      <c r="H105">
        <v>1575</v>
      </c>
    </row>
    <row r="106" spans="1:8" x14ac:dyDescent="0.3">
      <c r="A106" s="1">
        <v>44440</v>
      </c>
      <c r="B106" t="s">
        <v>25</v>
      </c>
      <c r="C106" t="s">
        <v>9</v>
      </c>
      <c r="D106" t="s">
        <v>21</v>
      </c>
      <c r="E106" t="s">
        <v>31</v>
      </c>
      <c r="F106">
        <v>33</v>
      </c>
      <c r="G106">
        <v>1500</v>
      </c>
      <c r="H106">
        <v>49500</v>
      </c>
    </row>
    <row r="107" spans="1:8" x14ac:dyDescent="0.3">
      <c r="A107" s="1">
        <v>44530</v>
      </c>
      <c r="B107" t="s">
        <v>35</v>
      </c>
      <c r="C107" t="s">
        <v>13</v>
      </c>
      <c r="D107" t="s">
        <v>18</v>
      </c>
      <c r="E107" t="s">
        <v>23</v>
      </c>
      <c r="F107">
        <v>4</v>
      </c>
      <c r="G107">
        <v>1575</v>
      </c>
      <c r="H107">
        <v>6300</v>
      </c>
    </row>
    <row r="108" spans="1:8" x14ac:dyDescent="0.3">
      <c r="A108" s="1">
        <v>44434</v>
      </c>
      <c r="B108" t="s">
        <v>35</v>
      </c>
      <c r="C108" t="s">
        <v>13</v>
      </c>
      <c r="D108" t="s">
        <v>32</v>
      </c>
      <c r="E108" t="s">
        <v>23</v>
      </c>
      <c r="F108">
        <v>26</v>
      </c>
      <c r="G108">
        <v>1575</v>
      </c>
      <c r="H108">
        <v>40950</v>
      </c>
    </row>
    <row r="109" spans="1:8" x14ac:dyDescent="0.3">
      <c r="A109" s="1">
        <v>44519</v>
      </c>
      <c r="B109" t="s">
        <v>8</v>
      </c>
      <c r="C109" t="s">
        <v>9</v>
      </c>
      <c r="D109" t="s">
        <v>30</v>
      </c>
      <c r="E109" t="s">
        <v>19</v>
      </c>
      <c r="F109">
        <v>18</v>
      </c>
      <c r="G109">
        <v>2001</v>
      </c>
      <c r="H109">
        <v>36018</v>
      </c>
    </row>
    <row r="110" spans="1:8" x14ac:dyDescent="0.3">
      <c r="A110" s="1">
        <v>44484</v>
      </c>
      <c r="B110" t="s">
        <v>8</v>
      </c>
      <c r="C110" t="s">
        <v>9</v>
      </c>
      <c r="D110" t="s">
        <v>21</v>
      </c>
      <c r="E110" t="s">
        <v>24</v>
      </c>
      <c r="F110">
        <v>12</v>
      </c>
      <c r="G110">
        <v>2001</v>
      </c>
      <c r="H110">
        <v>24012</v>
      </c>
    </row>
    <row r="111" spans="1:8" x14ac:dyDescent="0.3">
      <c r="A111" s="1">
        <v>44439</v>
      </c>
      <c r="B111" t="s">
        <v>33</v>
      </c>
      <c r="C111" t="s">
        <v>17</v>
      </c>
      <c r="D111" t="s">
        <v>38</v>
      </c>
      <c r="E111" t="s">
        <v>26</v>
      </c>
      <c r="F111">
        <v>24</v>
      </c>
      <c r="G111">
        <v>350</v>
      </c>
      <c r="H111">
        <v>8400</v>
      </c>
    </row>
    <row r="112" spans="1:8" x14ac:dyDescent="0.3">
      <c r="A112" s="1">
        <v>44494</v>
      </c>
      <c r="B112" t="s">
        <v>35</v>
      </c>
      <c r="C112" t="s">
        <v>13</v>
      </c>
      <c r="D112" t="s">
        <v>10</v>
      </c>
      <c r="E112" t="s">
        <v>23</v>
      </c>
      <c r="F112">
        <v>9</v>
      </c>
      <c r="G112">
        <v>1575</v>
      </c>
      <c r="H112">
        <v>14175</v>
      </c>
    </row>
    <row r="113" spans="1:8" x14ac:dyDescent="0.3">
      <c r="A113" s="1">
        <v>44542</v>
      </c>
      <c r="B113" t="s">
        <v>8</v>
      </c>
      <c r="C113" t="s">
        <v>9</v>
      </c>
      <c r="D113" t="s">
        <v>38</v>
      </c>
      <c r="E113" t="s">
        <v>27</v>
      </c>
      <c r="F113">
        <v>42</v>
      </c>
      <c r="G113">
        <v>2001</v>
      </c>
      <c r="H113">
        <v>84042</v>
      </c>
    </row>
    <row r="114" spans="1:8" x14ac:dyDescent="0.3">
      <c r="A114" s="1">
        <v>44451</v>
      </c>
      <c r="B114" t="s">
        <v>25</v>
      </c>
      <c r="C114" t="s">
        <v>9</v>
      </c>
      <c r="D114" t="s">
        <v>34</v>
      </c>
      <c r="E114" t="s">
        <v>31</v>
      </c>
      <c r="F114">
        <v>19</v>
      </c>
      <c r="G114">
        <v>1500</v>
      </c>
      <c r="H114">
        <v>28500</v>
      </c>
    </row>
    <row r="115" spans="1:8" x14ac:dyDescent="0.3">
      <c r="A115" s="1">
        <v>44202</v>
      </c>
      <c r="B115" t="s">
        <v>12</v>
      </c>
      <c r="C115" t="s">
        <v>13</v>
      </c>
      <c r="D115" t="s">
        <v>30</v>
      </c>
      <c r="E115" t="s">
        <v>27</v>
      </c>
      <c r="F115">
        <v>8</v>
      </c>
      <c r="G115">
        <v>790</v>
      </c>
      <c r="H115">
        <v>6320</v>
      </c>
    </row>
    <row r="116" spans="1:8" x14ac:dyDescent="0.3">
      <c r="A116" s="1">
        <v>44213</v>
      </c>
      <c r="B116" t="s">
        <v>36</v>
      </c>
      <c r="C116" t="s">
        <v>13</v>
      </c>
      <c r="D116" t="s">
        <v>39</v>
      </c>
      <c r="E116" t="s">
        <v>29</v>
      </c>
      <c r="F116">
        <v>46</v>
      </c>
      <c r="G116">
        <v>950</v>
      </c>
      <c r="H116">
        <v>43700</v>
      </c>
    </row>
    <row r="117" spans="1:8" x14ac:dyDescent="0.3">
      <c r="A117" s="1">
        <v>44486</v>
      </c>
      <c r="B117" t="s">
        <v>36</v>
      </c>
      <c r="C117" t="s">
        <v>13</v>
      </c>
      <c r="D117" t="s">
        <v>18</v>
      </c>
      <c r="E117" t="s">
        <v>23</v>
      </c>
      <c r="F117">
        <v>49</v>
      </c>
      <c r="G117">
        <v>950</v>
      </c>
      <c r="H117">
        <v>46550</v>
      </c>
    </row>
    <row r="118" spans="1:8" x14ac:dyDescent="0.3">
      <c r="A118" s="1">
        <v>44386</v>
      </c>
      <c r="B118" t="s">
        <v>35</v>
      </c>
      <c r="C118" t="s">
        <v>13</v>
      </c>
      <c r="D118" t="s">
        <v>21</v>
      </c>
      <c r="E118" t="s">
        <v>31</v>
      </c>
      <c r="F118">
        <v>23</v>
      </c>
      <c r="G118">
        <v>1575</v>
      </c>
      <c r="H118">
        <v>36225</v>
      </c>
    </row>
    <row r="119" spans="1:8" x14ac:dyDescent="0.3">
      <c r="A119" s="1">
        <v>44200</v>
      </c>
      <c r="B119" t="s">
        <v>20</v>
      </c>
      <c r="C119" t="s">
        <v>17</v>
      </c>
      <c r="D119" t="s">
        <v>30</v>
      </c>
      <c r="E119" t="s">
        <v>31</v>
      </c>
      <c r="F119">
        <v>16</v>
      </c>
      <c r="G119">
        <v>75</v>
      </c>
      <c r="H119">
        <v>1200</v>
      </c>
    </row>
    <row r="120" spans="1:8" x14ac:dyDescent="0.3">
      <c r="A120" s="1">
        <v>44416</v>
      </c>
      <c r="B120" t="s">
        <v>35</v>
      </c>
      <c r="C120" t="s">
        <v>13</v>
      </c>
      <c r="D120" t="s">
        <v>39</v>
      </c>
      <c r="E120" t="s">
        <v>15</v>
      </c>
      <c r="F120">
        <v>12</v>
      </c>
      <c r="G120">
        <v>1575</v>
      </c>
      <c r="H120">
        <v>18900</v>
      </c>
    </row>
    <row r="121" spans="1:8" x14ac:dyDescent="0.3">
      <c r="A121" s="1">
        <v>44252</v>
      </c>
      <c r="B121" t="s">
        <v>16</v>
      </c>
      <c r="C121" t="s">
        <v>17</v>
      </c>
      <c r="D121" t="s">
        <v>32</v>
      </c>
      <c r="E121" t="s">
        <v>11</v>
      </c>
      <c r="F121">
        <v>16</v>
      </c>
      <c r="G121">
        <v>315</v>
      </c>
      <c r="H121">
        <v>5040</v>
      </c>
    </row>
    <row r="122" spans="1:8" x14ac:dyDescent="0.3">
      <c r="A122" s="1">
        <v>44401</v>
      </c>
      <c r="B122" t="s">
        <v>33</v>
      </c>
      <c r="C122" t="s">
        <v>17</v>
      </c>
      <c r="D122" t="s">
        <v>30</v>
      </c>
      <c r="E122" t="s">
        <v>23</v>
      </c>
      <c r="F122">
        <v>7</v>
      </c>
      <c r="G122">
        <v>350</v>
      </c>
      <c r="H122">
        <v>2450</v>
      </c>
    </row>
    <row r="123" spans="1:8" x14ac:dyDescent="0.3">
      <c r="A123" s="1">
        <v>44539</v>
      </c>
      <c r="B123" t="s">
        <v>16</v>
      </c>
      <c r="C123" t="s">
        <v>17</v>
      </c>
      <c r="D123" t="s">
        <v>21</v>
      </c>
      <c r="E123" t="s">
        <v>23</v>
      </c>
      <c r="F123">
        <v>34</v>
      </c>
      <c r="G123">
        <v>315</v>
      </c>
      <c r="H123">
        <v>10710</v>
      </c>
    </row>
    <row r="124" spans="1:8" x14ac:dyDescent="0.3">
      <c r="A124" s="1">
        <v>44538</v>
      </c>
      <c r="B124" t="s">
        <v>20</v>
      </c>
      <c r="C124" t="s">
        <v>17</v>
      </c>
      <c r="D124" t="s">
        <v>38</v>
      </c>
      <c r="E124" t="s">
        <v>19</v>
      </c>
      <c r="F124">
        <v>15</v>
      </c>
      <c r="G124">
        <v>75</v>
      </c>
      <c r="H124">
        <v>1125</v>
      </c>
    </row>
    <row r="125" spans="1:8" x14ac:dyDescent="0.3">
      <c r="A125" s="1">
        <v>44415</v>
      </c>
      <c r="B125" t="s">
        <v>12</v>
      </c>
      <c r="C125" t="s">
        <v>13</v>
      </c>
      <c r="D125" t="s">
        <v>30</v>
      </c>
      <c r="E125" t="s">
        <v>23</v>
      </c>
      <c r="F125">
        <v>50</v>
      </c>
      <c r="G125">
        <v>790</v>
      </c>
      <c r="H125">
        <v>39500</v>
      </c>
    </row>
    <row r="126" spans="1:8" x14ac:dyDescent="0.3">
      <c r="A126" s="1">
        <v>44203</v>
      </c>
      <c r="B126" t="s">
        <v>22</v>
      </c>
      <c r="C126" t="s">
        <v>9</v>
      </c>
      <c r="D126" t="s">
        <v>18</v>
      </c>
      <c r="E126" t="s">
        <v>24</v>
      </c>
      <c r="F126">
        <v>10</v>
      </c>
      <c r="G126">
        <v>1080</v>
      </c>
      <c r="H126">
        <v>10800</v>
      </c>
    </row>
    <row r="127" spans="1:8" x14ac:dyDescent="0.3">
      <c r="A127" s="1">
        <v>44511</v>
      </c>
      <c r="B127" t="s">
        <v>16</v>
      </c>
      <c r="C127" t="s">
        <v>17</v>
      </c>
      <c r="D127" t="s">
        <v>28</v>
      </c>
      <c r="E127" t="s">
        <v>19</v>
      </c>
      <c r="F127">
        <v>2</v>
      </c>
      <c r="G127">
        <v>315</v>
      </c>
      <c r="H127">
        <v>630</v>
      </c>
    </row>
    <row r="128" spans="1:8" x14ac:dyDescent="0.3">
      <c r="A128" s="1">
        <v>44235</v>
      </c>
      <c r="B128" t="s">
        <v>22</v>
      </c>
      <c r="C128" t="s">
        <v>9</v>
      </c>
      <c r="D128" t="s">
        <v>18</v>
      </c>
      <c r="E128" t="s">
        <v>23</v>
      </c>
      <c r="F128">
        <v>22</v>
      </c>
      <c r="G128">
        <v>1080</v>
      </c>
      <c r="H128">
        <v>23760</v>
      </c>
    </row>
    <row r="129" spans="1:8" x14ac:dyDescent="0.3">
      <c r="A129" s="1">
        <v>44296</v>
      </c>
      <c r="B129" t="s">
        <v>16</v>
      </c>
      <c r="C129" t="s">
        <v>17</v>
      </c>
      <c r="D129" t="s">
        <v>21</v>
      </c>
      <c r="E129" t="s">
        <v>11</v>
      </c>
      <c r="F129">
        <v>27</v>
      </c>
      <c r="G129">
        <v>315</v>
      </c>
      <c r="H129">
        <v>8505</v>
      </c>
    </row>
    <row r="130" spans="1:8" x14ac:dyDescent="0.3">
      <c r="A130" s="1">
        <v>44201</v>
      </c>
      <c r="B130" t="s">
        <v>33</v>
      </c>
      <c r="C130" t="s">
        <v>17</v>
      </c>
      <c r="D130" t="s">
        <v>39</v>
      </c>
      <c r="E130" t="s">
        <v>24</v>
      </c>
      <c r="F130">
        <v>50</v>
      </c>
      <c r="G130">
        <v>350</v>
      </c>
      <c r="H130">
        <v>17500</v>
      </c>
    </row>
    <row r="131" spans="1:8" x14ac:dyDescent="0.3">
      <c r="A131" s="1">
        <v>44396</v>
      </c>
      <c r="B131" t="s">
        <v>25</v>
      </c>
      <c r="C131" t="s">
        <v>9</v>
      </c>
      <c r="D131" t="s">
        <v>28</v>
      </c>
      <c r="E131" t="s">
        <v>31</v>
      </c>
      <c r="F131">
        <v>24</v>
      </c>
      <c r="G131">
        <v>1500</v>
      </c>
      <c r="H131">
        <v>36000</v>
      </c>
    </row>
    <row r="132" spans="1:8" x14ac:dyDescent="0.3">
      <c r="A132" s="1">
        <v>44229</v>
      </c>
      <c r="B132" t="s">
        <v>8</v>
      </c>
      <c r="C132" t="s">
        <v>9</v>
      </c>
      <c r="D132" t="s">
        <v>18</v>
      </c>
      <c r="E132" t="s">
        <v>37</v>
      </c>
      <c r="F132">
        <v>1</v>
      </c>
      <c r="G132">
        <v>2001</v>
      </c>
      <c r="H132">
        <v>2001</v>
      </c>
    </row>
    <row r="133" spans="1:8" x14ac:dyDescent="0.3">
      <c r="A133" s="1">
        <v>44440</v>
      </c>
      <c r="B133" t="s">
        <v>12</v>
      </c>
      <c r="C133" t="s">
        <v>13</v>
      </c>
      <c r="D133" t="s">
        <v>34</v>
      </c>
      <c r="E133" t="s">
        <v>37</v>
      </c>
      <c r="F133">
        <v>15</v>
      </c>
      <c r="G133">
        <v>790</v>
      </c>
      <c r="H133">
        <v>11850</v>
      </c>
    </row>
    <row r="134" spans="1:8" x14ac:dyDescent="0.3">
      <c r="A134" s="1">
        <v>44282</v>
      </c>
      <c r="B134" t="s">
        <v>22</v>
      </c>
      <c r="C134" t="s">
        <v>9</v>
      </c>
      <c r="D134" t="s">
        <v>18</v>
      </c>
      <c r="E134" t="s">
        <v>11</v>
      </c>
      <c r="F134">
        <v>45</v>
      </c>
      <c r="G134">
        <v>1080</v>
      </c>
      <c r="H134">
        <v>48600</v>
      </c>
    </row>
    <row r="135" spans="1:8" x14ac:dyDescent="0.3">
      <c r="A135" s="1">
        <v>44312</v>
      </c>
      <c r="B135" t="s">
        <v>35</v>
      </c>
      <c r="C135" t="s">
        <v>13</v>
      </c>
      <c r="D135" t="s">
        <v>38</v>
      </c>
      <c r="E135" t="s">
        <v>15</v>
      </c>
      <c r="F135">
        <v>2</v>
      </c>
      <c r="G135">
        <v>1575</v>
      </c>
      <c r="H135">
        <v>3150</v>
      </c>
    </row>
    <row r="136" spans="1:8" x14ac:dyDescent="0.3">
      <c r="A136" s="1">
        <v>44320</v>
      </c>
      <c r="B136" t="s">
        <v>35</v>
      </c>
      <c r="C136" t="s">
        <v>13</v>
      </c>
      <c r="D136" t="s">
        <v>32</v>
      </c>
      <c r="E136" t="s">
        <v>29</v>
      </c>
      <c r="F136">
        <v>25</v>
      </c>
      <c r="G136">
        <v>1575</v>
      </c>
      <c r="H136">
        <v>39375</v>
      </c>
    </row>
    <row r="137" spans="1:8" x14ac:dyDescent="0.3">
      <c r="A137" s="1">
        <v>44395</v>
      </c>
      <c r="B137" t="s">
        <v>35</v>
      </c>
      <c r="C137" t="s">
        <v>13</v>
      </c>
      <c r="D137" t="s">
        <v>18</v>
      </c>
      <c r="E137" t="s">
        <v>11</v>
      </c>
      <c r="F137">
        <v>45</v>
      </c>
      <c r="G137">
        <v>1575</v>
      </c>
      <c r="H137">
        <v>70875</v>
      </c>
    </row>
    <row r="138" spans="1:8" x14ac:dyDescent="0.3">
      <c r="A138" s="1">
        <v>44239</v>
      </c>
      <c r="B138" t="s">
        <v>35</v>
      </c>
      <c r="C138" t="s">
        <v>13</v>
      </c>
      <c r="D138" t="s">
        <v>39</v>
      </c>
      <c r="E138" t="s">
        <v>29</v>
      </c>
      <c r="F138">
        <v>27</v>
      </c>
      <c r="G138">
        <v>1575</v>
      </c>
      <c r="H138">
        <v>42525</v>
      </c>
    </row>
    <row r="139" spans="1:8" x14ac:dyDescent="0.3">
      <c r="A139" s="1">
        <v>44543</v>
      </c>
      <c r="B139" t="s">
        <v>20</v>
      </c>
      <c r="C139" t="s">
        <v>17</v>
      </c>
      <c r="D139" t="s">
        <v>32</v>
      </c>
      <c r="E139" t="s">
        <v>27</v>
      </c>
      <c r="F139">
        <v>22</v>
      </c>
      <c r="G139">
        <v>75</v>
      </c>
      <c r="H139">
        <v>1650</v>
      </c>
    </row>
    <row r="140" spans="1:8" x14ac:dyDescent="0.3">
      <c r="A140" s="1">
        <v>44420</v>
      </c>
      <c r="B140" t="s">
        <v>25</v>
      </c>
      <c r="C140" t="s">
        <v>9</v>
      </c>
      <c r="D140" t="s">
        <v>30</v>
      </c>
      <c r="E140" t="s">
        <v>23</v>
      </c>
      <c r="F140">
        <v>31</v>
      </c>
      <c r="G140">
        <v>1500</v>
      </c>
      <c r="H140">
        <v>46500</v>
      </c>
    </row>
    <row r="141" spans="1:8" x14ac:dyDescent="0.3">
      <c r="A141" s="1">
        <v>44359</v>
      </c>
      <c r="B141" t="s">
        <v>12</v>
      </c>
      <c r="C141" t="s">
        <v>13</v>
      </c>
      <c r="D141" t="s">
        <v>30</v>
      </c>
      <c r="E141" t="s">
        <v>23</v>
      </c>
      <c r="F141">
        <v>22</v>
      </c>
      <c r="G141">
        <v>790</v>
      </c>
      <c r="H141">
        <v>17380</v>
      </c>
    </row>
    <row r="142" spans="1:8" x14ac:dyDescent="0.3">
      <c r="A142" s="1">
        <v>44479</v>
      </c>
      <c r="B142" t="s">
        <v>8</v>
      </c>
      <c r="C142" t="s">
        <v>9</v>
      </c>
      <c r="D142" t="s">
        <v>14</v>
      </c>
      <c r="E142" t="s">
        <v>29</v>
      </c>
      <c r="F142">
        <v>7</v>
      </c>
      <c r="G142">
        <v>2001</v>
      </c>
      <c r="H142">
        <v>14007</v>
      </c>
    </row>
    <row r="143" spans="1:8" x14ac:dyDescent="0.3">
      <c r="A143" s="1">
        <v>44288</v>
      </c>
      <c r="B143" t="s">
        <v>35</v>
      </c>
      <c r="C143" t="s">
        <v>13</v>
      </c>
      <c r="D143" t="s">
        <v>38</v>
      </c>
      <c r="E143" t="s">
        <v>31</v>
      </c>
      <c r="F143">
        <v>17</v>
      </c>
      <c r="G143">
        <v>1575</v>
      </c>
      <c r="H143">
        <v>26775</v>
      </c>
    </row>
    <row r="144" spans="1:8" x14ac:dyDescent="0.3">
      <c r="A144" s="1">
        <v>44423</v>
      </c>
      <c r="B144" t="s">
        <v>20</v>
      </c>
      <c r="C144" t="s">
        <v>17</v>
      </c>
      <c r="D144" t="s">
        <v>32</v>
      </c>
      <c r="E144" t="s">
        <v>29</v>
      </c>
      <c r="F144">
        <v>22</v>
      </c>
      <c r="G144">
        <v>75</v>
      </c>
      <c r="H144">
        <v>1650</v>
      </c>
    </row>
    <row r="145" spans="1:8" x14ac:dyDescent="0.3">
      <c r="A145" s="1">
        <v>44444</v>
      </c>
      <c r="B145" t="s">
        <v>33</v>
      </c>
      <c r="C145" t="s">
        <v>17</v>
      </c>
      <c r="D145" t="s">
        <v>14</v>
      </c>
      <c r="E145" t="s">
        <v>27</v>
      </c>
      <c r="F145">
        <v>48</v>
      </c>
      <c r="G145">
        <v>350</v>
      </c>
      <c r="H145">
        <v>16800</v>
      </c>
    </row>
    <row r="146" spans="1:8" x14ac:dyDescent="0.3">
      <c r="A146" s="1">
        <v>44455</v>
      </c>
      <c r="B146" t="s">
        <v>20</v>
      </c>
      <c r="C146" t="s">
        <v>17</v>
      </c>
      <c r="D146" t="s">
        <v>34</v>
      </c>
      <c r="E146" t="s">
        <v>27</v>
      </c>
      <c r="F146">
        <v>25</v>
      </c>
      <c r="G146">
        <v>75</v>
      </c>
      <c r="H146">
        <v>1875</v>
      </c>
    </row>
    <row r="147" spans="1:8" x14ac:dyDescent="0.3">
      <c r="A147" s="1">
        <v>44250</v>
      </c>
      <c r="B147" t="s">
        <v>22</v>
      </c>
      <c r="C147" t="s">
        <v>9</v>
      </c>
      <c r="D147" t="s">
        <v>39</v>
      </c>
      <c r="E147" t="s">
        <v>37</v>
      </c>
      <c r="F147">
        <v>7</v>
      </c>
      <c r="G147">
        <v>1080</v>
      </c>
      <c r="H147">
        <v>7560</v>
      </c>
    </row>
    <row r="148" spans="1:8" x14ac:dyDescent="0.3">
      <c r="A148" s="1">
        <v>44206</v>
      </c>
      <c r="B148" t="s">
        <v>35</v>
      </c>
      <c r="C148" t="s">
        <v>13</v>
      </c>
      <c r="D148" t="s">
        <v>30</v>
      </c>
      <c r="E148" t="s">
        <v>19</v>
      </c>
      <c r="F148">
        <v>23</v>
      </c>
      <c r="G148">
        <v>1575</v>
      </c>
      <c r="H148">
        <v>36225</v>
      </c>
    </row>
    <row r="149" spans="1:8" x14ac:dyDescent="0.3">
      <c r="A149" s="1">
        <v>44433</v>
      </c>
      <c r="B149" t="s">
        <v>12</v>
      </c>
      <c r="C149" t="s">
        <v>13</v>
      </c>
      <c r="D149" t="s">
        <v>38</v>
      </c>
      <c r="E149" t="s">
        <v>24</v>
      </c>
      <c r="F149">
        <v>36</v>
      </c>
      <c r="G149">
        <v>790</v>
      </c>
      <c r="H149">
        <v>28440</v>
      </c>
    </row>
    <row r="150" spans="1:8" x14ac:dyDescent="0.3">
      <c r="A150" s="1">
        <v>44367</v>
      </c>
      <c r="B150" t="s">
        <v>20</v>
      </c>
      <c r="C150" t="s">
        <v>17</v>
      </c>
      <c r="D150" t="s">
        <v>14</v>
      </c>
      <c r="E150" t="s">
        <v>27</v>
      </c>
      <c r="F150">
        <v>48</v>
      </c>
      <c r="G150">
        <v>75</v>
      </c>
      <c r="H150">
        <v>3600</v>
      </c>
    </row>
    <row r="151" spans="1:8" x14ac:dyDescent="0.3">
      <c r="A151" s="1">
        <v>44389</v>
      </c>
      <c r="B151" t="s">
        <v>33</v>
      </c>
      <c r="C151" t="s">
        <v>17</v>
      </c>
      <c r="D151" t="s">
        <v>34</v>
      </c>
      <c r="E151" t="s">
        <v>24</v>
      </c>
      <c r="F151">
        <v>35</v>
      </c>
      <c r="G151">
        <v>350</v>
      </c>
      <c r="H151">
        <v>12250</v>
      </c>
    </row>
    <row r="152" spans="1:8" x14ac:dyDescent="0.3">
      <c r="A152" s="1">
        <v>44408</v>
      </c>
      <c r="B152" t="s">
        <v>12</v>
      </c>
      <c r="C152" t="s">
        <v>13</v>
      </c>
      <c r="D152" t="s">
        <v>10</v>
      </c>
      <c r="E152" t="s">
        <v>23</v>
      </c>
      <c r="F152">
        <v>48</v>
      </c>
      <c r="G152">
        <v>790</v>
      </c>
      <c r="H152">
        <v>37920</v>
      </c>
    </row>
    <row r="153" spans="1:8" x14ac:dyDescent="0.3">
      <c r="A153" s="1">
        <v>44520</v>
      </c>
      <c r="B153" t="s">
        <v>22</v>
      </c>
      <c r="C153" t="s">
        <v>9</v>
      </c>
      <c r="D153" t="s">
        <v>38</v>
      </c>
      <c r="E153" t="s">
        <v>24</v>
      </c>
      <c r="F153">
        <v>6</v>
      </c>
      <c r="G153">
        <v>1080</v>
      </c>
      <c r="H153">
        <v>6480</v>
      </c>
    </row>
    <row r="154" spans="1:8" x14ac:dyDescent="0.3">
      <c r="A154" s="1">
        <v>44386</v>
      </c>
      <c r="B154" t="s">
        <v>36</v>
      </c>
      <c r="C154" t="s">
        <v>13</v>
      </c>
      <c r="D154" t="s">
        <v>21</v>
      </c>
      <c r="E154" t="s">
        <v>23</v>
      </c>
      <c r="F154">
        <v>38</v>
      </c>
      <c r="G154">
        <v>950</v>
      </c>
      <c r="H154">
        <v>36100</v>
      </c>
    </row>
    <row r="155" spans="1:8" x14ac:dyDescent="0.3">
      <c r="A155" s="1">
        <v>44292</v>
      </c>
      <c r="B155" t="s">
        <v>8</v>
      </c>
      <c r="C155" t="s">
        <v>9</v>
      </c>
      <c r="D155" t="s">
        <v>18</v>
      </c>
      <c r="E155" t="s">
        <v>37</v>
      </c>
      <c r="F155">
        <v>21</v>
      </c>
      <c r="G155">
        <v>2001</v>
      </c>
      <c r="H155">
        <v>42021</v>
      </c>
    </row>
    <row r="156" spans="1:8" x14ac:dyDescent="0.3">
      <c r="A156" s="1">
        <v>44494</v>
      </c>
      <c r="B156" t="s">
        <v>35</v>
      </c>
      <c r="C156" t="s">
        <v>13</v>
      </c>
      <c r="D156" t="s">
        <v>34</v>
      </c>
      <c r="E156" t="s">
        <v>26</v>
      </c>
      <c r="F156">
        <v>6</v>
      </c>
      <c r="G156">
        <v>1575</v>
      </c>
      <c r="H156">
        <v>9450</v>
      </c>
    </row>
    <row r="157" spans="1:8" x14ac:dyDescent="0.3">
      <c r="A157" s="1">
        <v>44538</v>
      </c>
      <c r="B157" t="s">
        <v>22</v>
      </c>
      <c r="C157" t="s">
        <v>9</v>
      </c>
      <c r="D157" t="s">
        <v>10</v>
      </c>
      <c r="E157" t="s">
        <v>11</v>
      </c>
      <c r="F157">
        <v>50</v>
      </c>
      <c r="G157">
        <v>1080</v>
      </c>
      <c r="H157">
        <v>54000</v>
      </c>
    </row>
    <row r="158" spans="1:8" x14ac:dyDescent="0.3">
      <c r="A158" s="1">
        <v>44497</v>
      </c>
      <c r="B158" t="s">
        <v>8</v>
      </c>
      <c r="C158" t="s">
        <v>9</v>
      </c>
      <c r="D158" t="s">
        <v>38</v>
      </c>
      <c r="E158" t="s">
        <v>11</v>
      </c>
      <c r="F158">
        <v>28</v>
      </c>
      <c r="G158">
        <v>2001</v>
      </c>
      <c r="H158">
        <v>56028</v>
      </c>
    </row>
    <row r="159" spans="1:8" x14ac:dyDescent="0.3">
      <c r="A159" s="1">
        <v>44218</v>
      </c>
      <c r="B159" t="s">
        <v>35</v>
      </c>
      <c r="C159" t="s">
        <v>13</v>
      </c>
      <c r="D159" t="s">
        <v>34</v>
      </c>
      <c r="E159" t="s">
        <v>23</v>
      </c>
      <c r="F159">
        <v>27</v>
      </c>
      <c r="G159">
        <v>1575</v>
      </c>
      <c r="H159">
        <v>42525</v>
      </c>
    </row>
    <row r="160" spans="1:8" x14ac:dyDescent="0.3">
      <c r="A160" s="1">
        <v>44247</v>
      </c>
      <c r="B160" t="s">
        <v>16</v>
      </c>
      <c r="C160" t="s">
        <v>17</v>
      </c>
      <c r="D160" t="s">
        <v>28</v>
      </c>
      <c r="E160" t="s">
        <v>24</v>
      </c>
      <c r="F160">
        <v>1</v>
      </c>
      <c r="G160">
        <v>315</v>
      </c>
      <c r="H160">
        <v>315</v>
      </c>
    </row>
    <row r="161" spans="1:8" x14ac:dyDescent="0.3">
      <c r="A161" s="1">
        <v>44397</v>
      </c>
      <c r="B161" t="s">
        <v>22</v>
      </c>
      <c r="C161" t="s">
        <v>9</v>
      </c>
      <c r="D161" t="s">
        <v>38</v>
      </c>
      <c r="E161" t="s">
        <v>31</v>
      </c>
      <c r="F161">
        <v>50</v>
      </c>
      <c r="G161">
        <v>1080</v>
      </c>
      <c r="H161">
        <v>54000</v>
      </c>
    </row>
    <row r="162" spans="1:8" x14ac:dyDescent="0.3">
      <c r="A162" s="1">
        <v>44503</v>
      </c>
      <c r="B162" t="s">
        <v>20</v>
      </c>
      <c r="C162" t="s">
        <v>17</v>
      </c>
      <c r="D162" t="s">
        <v>21</v>
      </c>
      <c r="E162" t="s">
        <v>19</v>
      </c>
      <c r="F162">
        <v>13</v>
      </c>
      <c r="G162">
        <v>75</v>
      </c>
      <c r="H162">
        <v>975</v>
      </c>
    </row>
    <row r="163" spans="1:8" x14ac:dyDescent="0.3">
      <c r="A163" s="1">
        <v>44275</v>
      </c>
      <c r="B163" t="s">
        <v>36</v>
      </c>
      <c r="C163" t="s">
        <v>13</v>
      </c>
      <c r="D163" t="s">
        <v>32</v>
      </c>
      <c r="E163" t="s">
        <v>15</v>
      </c>
      <c r="F163">
        <v>2</v>
      </c>
      <c r="G163">
        <v>950</v>
      </c>
      <c r="H163">
        <v>1900</v>
      </c>
    </row>
    <row r="164" spans="1:8" x14ac:dyDescent="0.3">
      <c r="A164" s="1">
        <v>44339</v>
      </c>
      <c r="B164" t="s">
        <v>33</v>
      </c>
      <c r="C164" t="s">
        <v>17</v>
      </c>
      <c r="D164" t="s">
        <v>32</v>
      </c>
      <c r="E164" t="s">
        <v>31</v>
      </c>
      <c r="F164">
        <v>26</v>
      </c>
      <c r="G164">
        <v>350</v>
      </c>
      <c r="H164">
        <v>9100</v>
      </c>
    </row>
    <row r="165" spans="1:8" x14ac:dyDescent="0.3">
      <c r="A165" s="1">
        <v>44258</v>
      </c>
      <c r="B165" t="s">
        <v>33</v>
      </c>
      <c r="C165" t="s">
        <v>17</v>
      </c>
      <c r="D165" t="s">
        <v>32</v>
      </c>
      <c r="E165" t="s">
        <v>26</v>
      </c>
      <c r="F165">
        <v>47</v>
      </c>
      <c r="G165">
        <v>350</v>
      </c>
      <c r="H165">
        <v>16450</v>
      </c>
    </row>
    <row r="166" spans="1:8" x14ac:dyDescent="0.3">
      <c r="A166" s="1">
        <v>44227</v>
      </c>
      <c r="B166" t="s">
        <v>20</v>
      </c>
      <c r="C166" t="s">
        <v>17</v>
      </c>
      <c r="D166" t="s">
        <v>28</v>
      </c>
      <c r="E166" t="s">
        <v>26</v>
      </c>
      <c r="F166">
        <v>17</v>
      </c>
      <c r="G166">
        <v>75</v>
      </c>
      <c r="H166">
        <v>1275</v>
      </c>
    </row>
    <row r="167" spans="1:8" x14ac:dyDescent="0.3">
      <c r="A167" s="1">
        <v>44216</v>
      </c>
      <c r="B167" t="s">
        <v>16</v>
      </c>
      <c r="C167" t="s">
        <v>17</v>
      </c>
      <c r="D167" t="s">
        <v>14</v>
      </c>
      <c r="E167" t="s">
        <v>23</v>
      </c>
      <c r="F167">
        <v>8</v>
      </c>
      <c r="G167">
        <v>315</v>
      </c>
      <c r="H167">
        <v>2520</v>
      </c>
    </row>
    <row r="168" spans="1:8" x14ac:dyDescent="0.3">
      <c r="A168" s="1">
        <v>44399</v>
      </c>
      <c r="B168" t="s">
        <v>35</v>
      </c>
      <c r="C168" t="s">
        <v>13</v>
      </c>
      <c r="D168" t="s">
        <v>28</v>
      </c>
      <c r="E168" t="s">
        <v>37</v>
      </c>
      <c r="F168">
        <v>36</v>
      </c>
      <c r="G168">
        <v>1575</v>
      </c>
      <c r="H168">
        <v>56700</v>
      </c>
    </row>
    <row r="169" spans="1:8" x14ac:dyDescent="0.3">
      <c r="A169" s="1">
        <v>44473</v>
      </c>
      <c r="B169" t="s">
        <v>8</v>
      </c>
      <c r="C169" t="s">
        <v>9</v>
      </c>
      <c r="D169" t="s">
        <v>39</v>
      </c>
      <c r="E169" t="s">
        <v>24</v>
      </c>
      <c r="F169">
        <v>21</v>
      </c>
      <c r="G169">
        <v>2001</v>
      </c>
      <c r="H169">
        <v>42021</v>
      </c>
    </row>
    <row r="170" spans="1:8" x14ac:dyDescent="0.3">
      <c r="A170" s="1">
        <v>44300</v>
      </c>
      <c r="B170" t="s">
        <v>22</v>
      </c>
      <c r="C170" t="s">
        <v>9</v>
      </c>
      <c r="D170" t="s">
        <v>34</v>
      </c>
      <c r="E170" t="s">
        <v>19</v>
      </c>
      <c r="F170">
        <v>41</v>
      </c>
      <c r="G170">
        <v>1080</v>
      </c>
      <c r="H170">
        <v>44280</v>
      </c>
    </row>
    <row r="171" spans="1:8" x14ac:dyDescent="0.3">
      <c r="A171" s="1">
        <v>44260</v>
      </c>
      <c r="B171" t="s">
        <v>12</v>
      </c>
      <c r="C171" t="s">
        <v>13</v>
      </c>
      <c r="D171" t="s">
        <v>14</v>
      </c>
      <c r="E171" t="s">
        <v>11</v>
      </c>
      <c r="F171">
        <v>8</v>
      </c>
      <c r="G171">
        <v>790</v>
      </c>
      <c r="H171">
        <v>6320</v>
      </c>
    </row>
    <row r="172" spans="1:8" x14ac:dyDescent="0.3">
      <c r="A172" s="1">
        <v>44402</v>
      </c>
      <c r="B172" t="s">
        <v>8</v>
      </c>
      <c r="C172" t="s">
        <v>9</v>
      </c>
      <c r="D172" t="s">
        <v>39</v>
      </c>
      <c r="E172" t="s">
        <v>19</v>
      </c>
      <c r="F172">
        <v>47</v>
      </c>
      <c r="G172">
        <v>2001</v>
      </c>
      <c r="H172">
        <v>94047</v>
      </c>
    </row>
    <row r="173" spans="1:8" x14ac:dyDescent="0.3">
      <c r="A173" s="1">
        <v>44361</v>
      </c>
      <c r="B173" t="s">
        <v>20</v>
      </c>
      <c r="C173" t="s">
        <v>17</v>
      </c>
      <c r="D173" t="s">
        <v>39</v>
      </c>
      <c r="E173" t="s">
        <v>37</v>
      </c>
      <c r="F173">
        <v>14</v>
      </c>
      <c r="G173">
        <v>75</v>
      </c>
      <c r="H173">
        <v>1050</v>
      </c>
    </row>
    <row r="174" spans="1:8" x14ac:dyDescent="0.3">
      <c r="A174" s="1">
        <v>44243</v>
      </c>
      <c r="B174" t="s">
        <v>36</v>
      </c>
      <c r="C174" t="s">
        <v>13</v>
      </c>
      <c r="D174" t="s">
        <v>30</v>
      </c>
      <c r="E174" t="s">
        <v>26</v>
      </c>
      <c r="F174">
        <v>25</v>
      </c>
      <c r="G174">
        <v>950</v>
      </c>
      <c r="H174">
        <v>23750</v>
      </c>
    </row>
    <row r="175" spans="1:8" x14ac:dyDescent="0.3">
      <c r="A175" s="1">
        <v>44544</v>
      </c>
      <c r="B175" t="s">
        <v>20</v>
      </c>
      <c r="C175" t="s">
        <v>17</v>
      </c>
      <c r="D175" t="s">
        <v>32</v>
      </c>
      <c r="E175" t="s">
        <v>29</v>
      </c>
      <c r="F175">
        <v>12</v>
      </c>
      <c r="G175">
        <v>75</v>
      </c>
      <c r="H175">
        <v>900</v>
      </c>
    </row>
    <row r="176" spans="1:8" x14ac:dyDescent="0.3">
      <c r="A176" s="1">
        <v>44284</v>
      </c>
      <c r="B176" t="s">
        <v>20</v>
      </c>
      <c r="C176" t="s">
        <v>17</v>
      </c>
      <c r="D176" t="s">
        <v>10</v>
      </c>
      <c r="E176" t="s">
        <v>15</v>
      </c>
      <c r="F176">
        <v>35</v>
      </c>
      <c r="G176">
        <v>75</v>
      </c>
      <c r="H176">
        <v>2625</v>
      </c>
    </row>
    <row r="177" spans="1:8" x14ac:dyDescent="0.3">
      <c r="A177" s="1">
        <v>44408</v>
      </c>
      <c r="B177" t="s">
        <v>8</v>
      </c>
      <c r="C177" t="s">
        <v>9</v>
      </c>
      <c r="D177" t="s">
        <v>39</v>
      </c>
      <c r="E177" t="s">
        <v>19</v>
      </c>
      <c r="F177">
        <v>12</v>
      </c>
      <c r="G177">
        <v>2001</v>
      </c>
      <c r="H177">
        <v>24012</v>
      </c>
    </row>
    <row r="178" spans="1:8" x14ac:dyDescent="0.3">
      <c r="A178" s="1">
        <v>44358</v>
      </c>
      <c r="B178" t="s">
        <v>8</v>
      </c>
      <c r="C178" t="s">
        <v>9</v>
      </c>
      <c r="D178" t="s">
        <v>14</v>
      </c>
      <c r="E178" t="s">
        <v>27</v>
      </c>
      <c r="F178">
        <v>23</v>
      </c>
      <c r="G178">
        <v>2001</v>
      </c>
      <c r="H178">
        <v>46023</v>
      </c>
    </row>
    <row r="179" spans="1:8" x14ac:dyDescent="0.3">
      <c r="A179" s="1">
        <v>44428</v>
      </c>
      <c r="B179" t="s">
        <v>36</v>
      </c>
      <c r="C179" t="s">
        <v>13</v>
      </c>
      <c r="D179" t="s">
        <v>21</v>
      </c>
      <c r="E179" t="s">
        <v>37</v>
      </c>
      <c r="F179">
        <v>41</v>
      </c>
      <c r="G179">
        <v>950</v>
      </c>
      <c r="H179">
        <v>38950</v>
      </c>
    </row>
    <row r="180" spans="1:8" x14ac:dyDescent="0.3">
      <c r="A180" s="1">
        <v>44384</v>
      </c>
      <c r="B180" t="s">
        <v>36</v>
      </c>
      <c r="C180" t="s">
        <v>13</v>
      </c>
      <c r="D180" t="s">
        <v>18</v>
      </c>
      <c r="E180" t="s">
        <v>24</v>
      </c>
      <c r="F180">
        <v>38</v>
      </c>
      <c r="G180">
        <v>950</v>
      </c>
      <c r="H180">
        <v>36100</v>
      </c>
    </row>
    <row r="181" spans="1:8" x14ac:dyDescent="0.3">
      <c r="A181" s="1">
        <v>44351</v>
      </c>
      <c r="B181" t="s">
        <v>36</v>
      </c>
      <c r="C181" t="s">
        <v>13</v>
      </c>
      <c r="D181" t="s">
        <v>32</v>
      </c>
      <c r="E181" t="s">
        <v>26</v>
      </c>
      <c r="F181">
        <v>14</v>
      </c>
      <c r="G181">
        <v>950</v>
      </c>
      <c r="H181">
        <v>13300</v>
      </c>
    </row>
    <row r="182" spans="1:8" x14ac:dyDescent="0.3">
      <c r="A182" s="1">
        <v>44496</v>
      </c>
      <c r="B182" t="s">
        <v>35</v>
      </c>
      <c r="C182" t="s">
        <v>13</v>
      </c>
      <c r="D182" t="s">
        <v>39</v>
      </c>
      <c r="E182" t="s">
        <v>29</v>
      </c>
      <c r="F182">
        <v>17</v>
      </c>
      <c r="G182">
        <v>1575</v>
      </c>
      <c r="H182">
        <v>26775</v>
      </c>
    </row>
    <row r="183" spans="1:8" x14ac:dyDescent="0.3">
      <c r="A183" s="1">
        <v>44212</v>
      </c>
      <c r="B183" t="s">
        <v>36</v>
      </c>
      <c r="C183" t="s">
        <v>13</v>
      </c>
      <c r="D183" t="s">
        <v>39</v>
      </c>
      <c r="E183" t="s">
        <v>11</v>
      </c>
      <c r="F183">
        <v>33</v>
      </c>
      <c r="G183">
        <v>950</v>
      </c>
      <c r="H183">
        <v>31350</v>
      </c>
    </row>
    <row r="184" spans="1:8" x14ac:dyDescent="0.3">
      <c r="A184" s="1">
        <v>44409</v>
      </c>
      <c r="B184" t="s">
        <v>36</v>
      </c>
      <c r="C184" t="s">
        <v>13</v>
      </c>
      <c r="D184" t="s">
        <v>32</v>
      </c>
      <c r="E184" t="s">
        <v>26</v>
      </c>
      <c r="F184">
        <v>16</v>
      </c>
      <c r="G184">
        <v>950</v>
      </c>
      <c r="H184">
        <v>15200</v>
      </c>
    </row>
    <row r="185" spans="1:8" x14ac:dyDescent="0.3">
      <c r="A185" s="1">
        <v>44337</v>
      </c>
      <c r="B185" t="s">
        <v>25</v>
      </c>
      <c r="C185" t="s">
        <v>9</v>
      </c>
      <c r="D185" t="s">
        <v>14</v>
      </c>
      <c r="E185" t="s">
        <v>19</v>
      </c>
      <c r="F185">
        <v>34</v>
      </c>
      <c r="G185">
        <v>1500</v>
      </c>
      <c r="H185">
        <v>51000</v>
      </c>
    </row>
    <row r="186" spans="1:8" x14ac:dyDescent="0.3">
      <c r="A186" s="1">
        <v>44433</v>
      </c>
      <c r="B186" t="s">
        <v>20</v>
      </c>
      <c r="C186" t="s">
        <v>17</v>
      </c>
      <c r="D186" t="s">
        <v>39</v>
      </c>
      <c r="E186" t="s">
        <v>24</v>
      </c>
      <c r="F186">
        <v>24</v>
      </c>
      <c r="G186">
        <v>75</v>
      </c>
      <c r="H186">
        <v>1800</v>
      </c>
    </row>
    <row r="187" spans="1:8" x14ac:dyDescent="0.3">
      <c r="A187" s="1">
        <v>44292</v>
      </c>
      <c r="B187" t="s">
        <v>25</v>
      </c>
      <c r="C187" t="s">
        <v>9</v>
      </c>
      <c r="D187" t="s">
        <v>32</v>
      </c>
      <c r="E187" t="s">
        <v>24</v>
      </c>
      <c r="F187">
        <v>20</v>
      </c>
      <c r="G187">
        <v>1500</v>
      </c>
      <c r="H187">
        <v>30000</v>
      </c>
    </row>
    <row r="188" spans="1:8" x14ac:dyDescent="0.3">
      <c r="A188" s="1">
        <v>44311</v>
      </c>
      <c r="B188" t="s">
        <v>16</v>
      </c>
      <c r="C188" t="s">
        <v>17</v>
      </c>
      <c r="D188" t="s">
        <v>39</v>
      </c>
      <c r="E188" t="s">
        <v>15</v>
      </c>
      <c r="F188">
        <v>13</v>
      </c>
      <c r="G188">
        <v>315</v>
      </c>
      <c r="H188">
        <v>4095</v>
      </c>
    </row>
    <row r="189" spans="1:8" x14ac:dyDescent="0.3">
      <c r="A189" s="1">
        <v>44514</v>
      </c>
      <c r="B189" t="s">
        <v>35</v>
      </c>
      <c r="C189" t="s">
        <v>13</v>
      </c>
      <c r="D189" t="s">
        <v>32</v>
      </c>
      <c r="E189" t="s">
        <v>11</v>
      </c>
      <c r="F189">
        <v>48</v>
      </c>
      <c r="G189">
        <v>1575</v>
      </c>
      <c r="H189">
        <v>75600</v>
      </c>
    </row>
    <row r="190" spans="1:8" x14ac:dyDescent="0.3">
      <c r="A190" s="1">
        <v>44367</v>
      </c>
      <c r="B190" t="s">
        <v>25</v>
      </c>
      <c r="C190" t="s">
        <v>9</v>
      </c>
      <c r="D190" t="s">
        <v>10</v>
      </c>
      <c r="E190" t="s">
        <v>37</v>
      </c>
      <c r="F190">
        <v>34</v>
      </c>
      <c r="G190">
        <v>1500</v>
      </c>
      <c r="H190">
        <v>51000</v>
      </c>
    </row>
    <row r="191" spans="1:8" x14ac:dyDescent="0.3">
      <c r="A191" s="1">
        <v>44518</v>
      </c>
      <c r="B191" t="s">
        <v>36</v>
      </c>
      <c r="C191" t="s">
        <v>13</v>
      </c>
      <c r="D191" t="s">
        <v>39</v>
      </c>
      <c r="E191" t="s">
        <v>27</v>
      </c>
      <c r="F191">
        <v>37</v>
      </c>
      <c r="G191">
        <v>950</v>
      </c>
      <c r="H191">
        <v>35150</v>
      </c>
    </row>
    <row r="192" spans="1:8" x14ac:dyDescent="0.3">
      <c r="A192" s="1">
        <v>44305</v>
      </c>
      <c r="B192" t="s">
        <v>22</v>
      </c>
      <c r="C192" t="s">
        <v>9</v>
      </c>
      <c r="D192" t="s">
        <v>28</v>
      </c>
      <c r="E192" t="s">
        <v>31</v>
      </c>
      <c r="F192">
        <v>48</v>
      </c>
      <c r="G192">
        <v>1080</v>
      </c>
      <c r="H192">
        <v>51840</v>
      </c>
    </row>
    <row r="193" spans="1:8" x14ac:dyDescent="0.3">
      <c r="A193" s="1">
        <v>44323</v>
      </c>
      <c r="B193" t="s">
        <v>22</v>
      </c>
      <c r="C193" t="s">
        <v>9</v>
      </c>
      <c r="D193" t="s">
        <v>39</v>
      </c>
      <c r="E193" t="s">
        <v>15</v>
      </c>
      <c r="F193">
        <v>30</v>
      </c>
      <c r="G193">
        <v>1080</v>
      </c>
      <c r="H193">
        <v>32400</v>
      </c>
    </row>
    <row r="194" spans="1:8" x14ac:dyDescent="0.3">
      <c r="A194" s="1">
        <v>44484</v>
      </c>
      <c r="B194" t="s">
        <v>16</v>
      </c>
      <c r="C194" t="s">
        <v>17</v>
      </c>
      <c r="D194" t="s">
        <v>21</v>
      </c>
      <c r="E194" t="s">
        <v>11</v>
      </c>
      <c r="F194">
        <v>26</v>
      </c>
      <c r="G194">
        <v>315</v>
      </c>
      <c r="H194">
        <v>8190</v>
      </c>
    </row>
    <row r="195" spans="1:8" x14ac:dyDescent="0.3">
      <c r="A195" s="1">
        <v>44553</v>
      </c>
      <c r="B195" t="s">
        <v>20</v>
      </c>
      <c r="C195" t="s">
        <v>17</v>
      </c>
      <c r="D195" t="s">
        <v>32</v>
      </c>
      <c r="E195" t="s">
        <v>11</v>
      </c>
      <c r="F195">
        <v>50</v>
      </c>
      <c r="G195">
        <v>75</v>
      </c>
      <c r="H195">
        <v>3750</v>
      </c>
    </row>
    <row r="196" spans="1:8" x14ac:dyDescent="0.3">
      <c r="A196" s="1">
        <v>44296</v>
      </c>
      <c r="B196" t="s">
        <v>33</v>
      </c>
      <c r="C196" t="s">
        <v>17</v>
      </c>
      <c r="D196" t="s">
        <v>18</v>
      </c>
      <c r="E196" t="s">
        <v>26</v>
      </c>
      <c r="F196">
        <v>13</v>
      </c>
      <c r="G196">
        <v>350</v>
      </c>
      <c r="H196">
        <v>4550</v>
      </c>
    </row>
    <row r="197" spans="1:8" x14ac:dyDescent="0.3">
      <c r="A197" s="1">
        <v>44551</v>
      </c>
      <c r="B197" t="s">
        <v>33</v>
      </c>
      <c r="C197" t="s">
        <v>17</v>
      </c>
      <c r="D197" t="s">
        <v>38</v>
      </c>
      <c r="E197" t="s">
        <v>26</v>
      </c>
      <c r="F197">
        <v>49</v>
      </c>
      <c r="G197">
        <v>350</v>
      </c>
      <c r="H197">
        <v>17150</v>
      </c>
    </row>
    <row r="198" spans="1:8" x14ac:dyDescent="0.3">
      <c r="A198" s="1">
        <v>44289</v>
      </c>
      <c r="B198" t="s">
        <v>22</v>
      </c>
      <c r="C198" t="s">
        <v>9</v>
      </c>
      <c r="D198" t="s">
        <v>10</v>
      </c>
      <c r="E198" t="s">
        <v>11</v>
      </c>
      <c r="F198">
        <v>24</v>
      </c>
      <c r="G198">
        <v>1080</v>
      </c>
      <c r="H198">
        <v>25920</v>
      </c>
    </row>
    <row r="199" spans="1:8" x14ac:dyDescent="0.3">
      <c r="A199" s="1">
        <v>44282</v>
      </c>
      <c r="B199" t="s">
        <v>33</v>
      </c>
      <c r="C199" t="s">
        <v>17</v>
      </c>
      <c r="D199" t="s">
        <v>32</v>
      </c>
      <c r="E199" t="s">
        <v>24</v>
      </c>
      <c r="F199">
        <v>27</v>
      </c>
      <c r="G199">
        <v>350</v>
      </c>
      <c r="H199">
        <v>9450</v>
      </c>
    </row>
    <row r="200" spans="1:8" x14ac:dyDescent="0.3">
      <c r="A200" s="1">
        <v>44477</v>
      </c>
      <c r="B200" t="s">
        <v>12</v>
      </c>
      <c r="C200" t="s">
        <v>13</v>
      </c>
      <c r="D200" t="s">
        <v>21</v>
      </c>
      <c r="E200" t="s">
        <v>24</v>
      </c>
      <c r="F200">
        <v>32</v>
      </c>
      <c r="G200">
        <v>790</v>
      </c>
      <c r="H200">
        <v>25280</v>
      </c>
    </row>
    <row r="201" spans="1:8" x14ac:dyDescent="0.3">
      <c r="A201" s="1">
        <v>44343</v>
      </c>
      <c r="B201" t="s">
        <v>25</v>
      </c>
      <c r="C201" t="s">
        <v>9</v>
      </c>
      <c r="D201" t="s">
        <v>18</v>
      </c>
      <c r="E201" t="s">
        <v>23</v>
      </c>
      <c r="F201">
        <v>11</v>
      </c>
      <c r="G201">
        <v>1500</v>
      </c>
      <c r="H201">
        <v>16500</v>
      </c>
    </row>
    <row r="202" spans="1:8" x14ac:dyDescent="0.3">
      <c r="A202" s="1">
        <v>44479</v>
      </c>
      <c r="B202" t="s">
        <v>25</v>
      </c>
      <c r="C202" t="s">
        <v>9</v>
      </c>
      <c r="D202" t="s">
        <v>30</v>
      </c>
      <c r="E202" t="s">
        <v>11</v>
      </c>
      <c r="F202">
        <v>32</v>
      </c>
      <c r="G202">
        <v>1500</v>
      </c>
      <c r="H202">
        <v>48000</v>
      </c>
    </row>
    <row r="203" spans="1:8" x14ac:dyDescent="0.3">
      <c r="A203" s="1">
        <v>44303</v>
      </c>
      <c r="B203" t="s">
        <v>25</v>
      </c>
      <c r="C203" t="s">
        <v>9</v>
      </c>
      <c r="D203" t="s">
        <v>28</v>
      </c>
      <c r="E203" t="s">
        <v>29</v>
      </c>
      <c r="F203">
        <v>38</v>
      </c>
      <c r="G203">
        <v>1500</v>
      </c>
      <c r="H203">
        <v>57000</v>
      </c>
    </row>
    <row r="204" spans="1:8" x14ac:dyDescent="0.3">
      <c r="A204" s="1">
        <v>44309</v>
      </c>
      <c r="B204" t="s">
        <v>8</v>
      </c>
      <c r="C204" t="s">
        <v>9</v>
      </c>
      <c r="D204" t="s">
        <v>14</v>
      </c>
      <c r="E204" t="s">
        <v>37</v>
      </c>
      <c r="F204">
        <v>29</v>
      </c>
      <c r="G204">
        <v>2001</v>
      </c>
      <c r="H204">
        <v>58029</v>
      </c>
    </row>
    <row r="205" spans="1:8" x14ac:dyDescent="0.3">
      <c r="A205" s="1">
        <v>44318</v>
      </c>
      <c r="B205" t="s">
        <v>8</v>
      </c>
      <c r="C205" t="s">
        <v>9</v>
      </c>
      <c r="D205" t="s">
        <v>18</v>
      </c>
      <c r="E205" t="s">
        <v>27</v>
      </c>
      <c r="F205">
        <v>19</v>
      </c>
      <c r="G205">
        <v>2001</v>
      </c>
      <c r="H205">
        <v>38019</v>
      </c>
    </row>
    <row r="206" spans="1:8" x14ac:dyDescent="0.3">
      <c r="A206" s="1">
        <v>44413</v>
      </c>
      <c r="B206" t="s">
        <v>33</v>
      </c>
      <c r="C206" t="s">
        <v>17</v>
      </c>
      <c r="D206" t="s">
        <v>30</v>
      </c>
      <c r="E206" t="s">
        <v>27</v>
      </c>
      <c r="F206">
        <v>24</v>
      </c>
      <c r="G206">
        <v>350</v>
      </c>
      <c r="H206">
        <v>8400</v>
      </c>
    </row>
    <row r="207" spans="1:8" x14ac:dyDescent="0.3">
      <c r="A207" s="1">
        <v>44236</v>
      </c>
      <c r="B207" t="s">
        <v>33</v>
      </c>
      <c r="C207" t="s">
        <v>17</v>
      </c>
      <c r="D207" t="s">
        <v>10</v>
      </c>
      <c r="E207" t="s">
        <v>15</v>
      </c>
      <c r="F207">
        <v>23</v>
      </c>
      <c r="G207">
        <v>350</v>
      </c>
      <c r="H207">
        <v>8050</v>
      </c>
    </row>
    <row r="208" spans="1:8" x14ac:dyDescent="0.3">
      <c r="A208" s="1">
        <v>44317</v>
      </c>
      <c r="B208" t="s">
        <v>16</v>
      </c>
      <c r="C208" t="s">
        <v>17</v>
      </c>
      <c r="D208" t="s">
        <v>32</v>
      </c>
      <c r="E208" t="s">
        <v>27</v>
      </c>
      <c r="F208">
        <v>46</v>
      </c>
      <c r="G208">
        <v>315</v>
      </c>
      <c r="H208">
        <v>14490</v>
      </c>
    </row>
    <row r="209" spans="1:8" x14ac:dyDescent="0.3">
      <c r="A209" s="1">
        <v>44248</v>
      </c>
      <c r="B209" t="s">
        <v>8</v>
      </c>
      <c r="C209" t="s">
        <v>9</v>
      </c>
      <c r="D209" t="s">
        <v>30</v>
      </c>
      <c r="E209" t="s">
        <v>15</v>
      </c>
      <c r="F209">
        <v>35</v>
      </c>
      <c r="G209">
        <v>2001</v>
      </c>
      <c r="H209">
        <v>70035</v>
      </c>
    </row>
    <row r="210" spans="1:8" x14ac:dyDescent="0.3">
      <c r="A210" s="1">
        <v>44407</v>
      </c>
      <c r="B210" t="s">
        <v>36</v>
      </c>
      <c r="C210" t="s">
        <v>13</v>
      </c>
      <c r="D210" t="s">
        <v>21</v>
      </c>
      <c r="E210" t="s">
        <v>26</v>
      </c>
      <c r="F210">
        <v>16</v>
      </c>
      <c r="G210">
        <v>950</v>
      </c>
      <c r="H210">
        <v>15200</v>
      </c>
    </row>
    <row r="211" spans="1:8" x14ac:dyDescent="0.3">
      <c r="A211" s="1">
        <v>44360</v>
      </c>
      <c r="B211" t="s">
        <v>16</v>
      </c>
      <c r="C211" t="s">
        <v>17</v>
      </c>
      <c r="D211" t="s">
        <v>28</v>
      </c>
      <c r="E211" t="s">
        <v>24</v>
      </c>
      <c r="F211">
        <v>32</v>
      </c>
      <c r="G211">
        <v>315</v>
      </c>
      <c r="H211">
        <v>10080</v>
      </c>
    </row>
    <row r="212" spans="1:8" x14ac:dyDescent="0.3">
      <c r="A212" s="1">
        <v>44270</v>
      </c>
      <c r="B212" t="s">
        <v>36</v>
      </c>
      <c r="C212" t="s">
        <v>13</v>
      </c>
      <c r="D212" t="s">
        <v>14</v>
      </c>
      <c r="E212" t="s">
        <v>29</v>
      </c>
      <c r="F212">
        <v>45</v>
      </c>
      <c r="G212">
        <v>950</v>
      </c>
      <c r="H212">
        <v>42750</v>
      </c>
    </row>
    <row r="213" spans="1:8" x14ac:dyDescent="0.3">
      <c r="A213" s="1">
        <v>44343</v>
      </c>
      <c r="B213" t="s">
        <v>33</v>
      </c>
      <c r="C213" t="s">
        <v>17</v>
      </c>
      <c r="D213" t="s">
        <v>32</v>
      </c>
      <c r="E213" t="s">
        <v>15</v>
      </c>
      <c r="F213">
        <v>28</v>
      </c>
      <c r="G213">
        <v>350</v>
      </c>
      <c r="H213">
        <v>9800</v>
      </c>
    </row>
    <row r="214" spans="1:8" x14ac:dyDescent="0.3">
      <c r="A214" s="1">
        <v>44278</v>
      </c>
      <c r="B214" t="s">
        <v>12</v>
      </c>
      <c r="C214" t="s">
        <v>13</v>
      </c>
      <c r="D214" t="s">
        <v>32</v>
      </c>
      <c r="E214" t="s">
        <v>24</v>
      </c>
      <c r="F214">
        <v>5</v>
      </c>
      <c r="G214">
        <v>790</v>
      </c>
      <c r="H214">
        <v>3950</v>
      </c>
    </row>
    <row r="215" spans="1:8" x14ac:dyDescent="0.3">
      <c r="A215" s="1">
        <v>44436</v>
      </c>
      <c r="B215" t="s">
        <v>25</v>
      </c>
      <c r="C215" t="s">
        <v>9</v>
      </c>
      <c r="D215" t="s">
        <v>10</v>
      </c>
      <c r="E215" t="s">
        <v>37</v>
      </c>
      <c r="F215">
        <v>33</v>
      </c>
      <c r="G215">
        <v>1500</v>
      </c>
      <c r="H215">
        <v>49500</v>
      </c>
    </row>
    <row r="216" spans="1:8" x14ac:dyDescent="0.3">
      <c r="A216" s="1">
        <v>44551</v>
      </c>
      <c r="B216" t="s">
        <v>20</v>
      </c>
      <c r="C216" t="s">
        <v>17</v>
      </c>
      <c r="D216" t="s">
        <v>28</v>
      </c>
      <c r="E216" t="s">
        <v>26</v>
      </c>
      <c r="F216">
        <v>7</v>
      </c>
      <c r="G216">
        <v>75</v>
      </c>
      <c r="H216">
        <v>525</v>
      </c>
    </row>
    <row r="217" spans="1:8" x14ac:dyDescent="0.3">
      <c r="A217" s="1">
        <v>44522</v>
      </c>
      <c r="B217" t="s">
        <v>36</v>
      </c>
      <c r="C217" t="s">
        <v>13</v>
      </c>
      <c r="D217" t="s">
        <v>32</v>
      </c>
      <c r="E217" t="s">
        <v>19</v>
      </c>
      <c r="F217">
        <v>33</v>
      </c>
      <c r="G217">
        <v>950</v>
      </c>
      <c r="H217">
        <v>31350</v>
      </c>
    </row>
    <row r="218" spans="1:8" x14ac:dyDescent="0.3">
      <c r="A218" s="1">
        <v>44560</v>
      </c>
      <c r="B218" t="s">
        <v>16</v>
      </c>
      <c r="C218" t="s">
        <v>17</v>
      </c>
      <c r="D218" t="s">
        <v>30</v>
      </c>
      <c r="E218" t="s">
        <v>24</v>
      </c>
      <c r="F218">
        <v>33</v>
      </c>
      <c r="G218">
        <v>315</v>
      </c>
      <c r="H218">
        <v>10395</v>
      </c>
    </row>
    <row r="219" spans="1:8" x14ac:dyDescent="0.3">
      <c r="A219" s="1">
        <v>44551</v>
      </c>
      <c r="B219" t="s">
        <v>8</v>
      </c>
      <c r="C219" t="s">
        <v>9</v>
      </c>
      <c r="D219" t="s">
        <v>39</v>
      </c>
      <c r="E219" t="s">
        <v>26</v>
      </c>
      <c r="F219">
        <v>7</v>
      </c>
      <c r="G219">
        <v>2001</v>
      </c>
      <c r="H219">
        <v>14007</v>
      </c>
    </row>
    <row r="220" spans="1:8" x14ac:dyDescent="0.3">
      <c r="A220" s="1">
        <v>44249</v>
      </c>
      <c r="B220" t="s">
        <v>25</v>
      </c>
      <c r="C220" t="s">
        <v>9</v>
      </c>
      <c r="D220" t="s">
        <v>10</v>
      </c>
      <c r="E220" t="s">
        <v>23</v>
      </c>
      <c r="F220">
        <v>16</v>
      </c>
      <c r="G220">
        <v>1500</v>
      </c>
      <c r="H220">
        <v>24000</v>
      </c>
    </row>
    <row r="221" spans="1:8" x14ac:dyDescent="0.3">
      <c r="A221" s="1">
        <v>44289</v>
      </c>
      <c r="B221" t="s">
        <v>8</v>
      </c>
      <c r="C221" t="s">
        <v>9</v>
      </c>
      <c r="D221" t="s">
        <v>39</v>
      </c>
      <c r="E221" t="s">
        <v>37</v>
      </c>
      <c r="F221">
        <v>38</v>
      </c>
      <c r="G221">
        <v>2001</v>
      </c>
      <c r="H221">
        <v>76038</v>
      </c>
    </row>
    <row r="222" spans="1:8" x14ac:dyDescent="0.3">
      <c r="A222" s="1">
        <v>44231</v>
      </c>
      <c r="B222" t="s">
        <v>20</v>
      </c>
      <c r="C222" t="s">
        <v>17</v>
      </c>
      <c r="D222" t="s">
        <v>39</v>
      </c>
      <c r="E222" t="s">
        <v>26</v>
      </c>
      <c r="F222">
        <v>38</v>
      </c>
      <c r="G222">
        <v>75</v>
      </c>
      <c r="H222">
        <v>2850</v>
      </c>
    </row>
    <row r="223" spans="1:8" x14ac:dyDescent="0.3">
      <c r="A223" s="1">
        <v>44459</v>
      </c>
      <c r="B223" t="s">
        <v>33</v>
      </c>
      <c r="C223" t="s">
        <v>17</v>
      </c>
      <c r="D223" t="s">
        <v>39</v>
      </c>
      <c r="E223" t="s">
        <v>27</v>
      </c>
      <c r="F223">
        <v>37</v>
      </c>
      <c r="G223">
        <v>350</v>
      </c>
      <c r="H223">
        <v>12950</v>
      </c>
    </row>
    <row r="224" spans="1:8" x14ac:dyDescent="0.3">
      <c r="A224" s="1">
        <v>44236</v>
      </c>
      <c r="B224" t="s">
        <v>36</v>
      </c>
      <c r="C224" t="s">
        <v>13</v>
      </c>
      <c r="D224" t="s">
        <v>28</v>
      </c>
      <c r="E224" t="s">
        <v>15</v>
      </c>
      <c r="F224">
        <v>4</v>
      </c>
      <c r="G224">
        <v>950</v>
      </c>
      <c r="H224">
        <v>3800</v>
      </c>
    </row>
    <row r="225" spans="1:8" x14ac:dyDescent="0.3">
      <c r="A225" s="1">
        <v>44439</v>
      </c>
      <c r="B225" t="s">
        <v>22</v>
      </c>
      <c r="C225" t="s">
        <v>9</v>
      </c>
      <c r="D225" t="s">
        <v>39</v>
      </c>
      <c r="E225" t="s">
        <v>19</v>
      </c>
      <c r="F225">
        <v>27</v>
      </c>
      <c r="G225">
        <v>1080</v>
      </c>
      <c r="H225">
        <v>29160</v>
      </c>
    </row>
    <row r="226" spans="1:8" x14ac:dyDescent="0.3">
      <c r="A226" s="1">
        <v>44249</v>
      </c>
      <c r="B226" t="s">
        <v>33</v>
      </c>
      <c r="C226" t="s">
        <v>17</v>
      </c>
      <c r="D226" t="s">
        <v>28</v>
      </c>
      <c r="E226" t="s">
        <v>27</v>
      </c>
      <c r="F226">
        <v>27</v>
      </c>
      <c r="G226">
        <v>350</v>
      </c>
      <c r="H226">
        <v>9450</v>
      </c>
    </row>
    <row r="227" spans="1:8" x14ac:dyDescent="0.3">
      <c r="A227" s="1">
        <v>44398</v>
      </c>
      <c r="B227" t="s">
        <v>35</v>
      </c>
      <c r="C227" t="s">
        <v>13</v>
      </c>
      <c r="D227" t="s">
        <v>32</v>
      </c>
      <c r="E227" t="s">
        <v>29</v>
      </c>
      <c r="F227">
        <v>41</v>
      </c>
      <c r="G227">
        <v>1575</v>
      </c>
      <c r="H227">
        <v>64575</v>
      </c>
    </row>
    <row r="228" spans="1:8" x14ac:dyDescent="0.3">
      <c r="A228" s="1">
        <v>44528</v>
      </c>
      <c r="B228" t="s">
        <v>22</v>
      </c>
      <c r="C228" t="s">
        <v>9</v>
      </c>
      <c r="D228" t="s">
        <v>39</v>
      </c>
      <c r="E228" t="s">
        <v>11</v>
      </c>
      <c r="F228">
        <v>14</v>
      </c>
      <c r="G228">
        <v>1080</v>
      </c>
      <c r="H228">
        <v>15120</v>
      </c>
    </row>
    <row r="229" spans="1:8" x14ac:dyDescent="0.3">
      <c r="A229" s="1">
        <v>44359</v>
      </c>
      <c r="B229" t="s">
        <v>25</v>
      </c>
      <c r="C229" t="s">
        <v>9</v>
      </c>
      <c r="D229" t="s">
        <v>30</v>
      </c>
      <c r="E229" t="s">
        <v>11</v>
      </c>
      <c r="F229">
        <v>50</v>
      </c>
      <c r="G229">
        <v>1500</v>
      </c>
      <c r="H229">
        <v>75000</v>
      </c>
    </row>
    <row r="230" spans="1:8" x14ac:dyDescent="0.3">
      <c r="A230" s="1">
        <v>44322</v>
      </c>
      <c r="B230" t="s">
        <v>22</v>
      </c>
      <c r="C230" t="s">
        <v>9</v>
      </c>
      <c r="D230" t="s">
        <v>32</v>
      </c>
      <c r="E230" t="s">
        <v>19</v>
      </c>
      <c r="F230">
        <v>6</v>
      </c>
      <c r="G230">
        <v>1080</v>
      </c>
      <c r="H230">
        <v>6480</v>
      </c>
    </row>
    <row r="231" spans="1:8" x14ac:dyDescent="0.3">
      <c r="A231" s="1">
        <v>44429</v>
      </c>
      <c r="B231" t="s">
        <v>8</v>
      </c>
      <c r="C231" t="s">
        <v>9</v>
      </c>
      <c r="D231" t="s">
        <v>30</v>
      </c>
      <c r="E231" t="s">
        <v>31</v>
      </c>
      <c r="F231">
        <v>36</v>
      </c>
      <c r="G231">
        <v>2001</v>
      </c>
      <c r="H231">
        <v>72036</v>
      </c>
    </row>
    <row r="232" spans="1:8" x14ac:dyDescent="0.3">
      <c r="A232" s="1">
        <v>44416</v>
      </c>
      <c r="B232" t="s">
        <v>16</v>
      </c>
      <c r="C232" t="s">
        <v>17</v>
      </c>
      <c r="D232" t="s">
        <v>28</v>
      </c>
      <c r="E232" t="s">
        <v>37</v>
      </c>
      <c r="F232">
        <v>20</v>
      </c>
      <c r="G232">
        <v>315</v>
      </c>
      <c r="H232">
        <v>6300</v>
      </c>
    </row>
    <row r="233" spans="1:8" x14ac:dyDescent="0.3">
      <c r="A233" s="1">
        <v>44493</v>
      </c>
      <c r="B233" t="s">
        <v>36</v>
      </c>
      <c r="C233" t="s">
        <v>13</v>
      </c>
      <c r="D233" t="s">
        <v>34</v>
      </c>
      <c r="E233" t="s">
        <v>24</v>
      </c>
      <c r="F233">
        <v>14</v>
      </c>
      <c r="G233">
        <v>950</v>
      </c>
      <c r="H233">
        <v>13300</v>
      </c>
    </row>
    <row r="234" spans="1:8" x14ac:dyDescent="0.3">
      <c r="A234" s="1">
        <v>44340</v>
      </c>
      <c r="B234" t="s">
        <v>36</v>
      </c>
      <c r="C234" t="s">
        <v>13</v>
      </c>
      <c r="D234" t="s">
        <v>34</v>
      </c>
      <c r="E234" t="s">
        <v>31</v>
      </c>
      <c r="F234">
        <v>45</v>
      </c>
      <c r="G234">
        <v>950</v>
      </c>
      <c r="H234">
        <v>42750</v>
      </c>
    </row>
    <row r="235" spans="1:8" x14ac:dyDescent="0.3">
      <c r="A235" s="1">
        <v>44326</v>
      </c>
      <c r="B235" t="s">
        <v>25</v>
      </c>
      <c r="C235" t="s">
        <v>9</v>
      </c>
      <c r="D235" t="s">
        <v>34</v>
      </c>
      <c r="E235" t="s">
        <v>24</v>
      </c>
      <c r="F235">
        <v>39</v>
      </c>
      <c r="G235">
        <v>1500</v>
      </c>
      <c r="H235">
        <v>58500</v>
      </c>
    </row>
    <row r="236" spans="1:8" x14ac:dyDescent="0.3">
      <c r="A236" s="1">
        <v>44463</v>
      </c>
      <c r="B236" t="s">
        <v>12</v>
      </c>
      <c r="C236" t="s">
        <v>13</v>
      </c>
      <c r="D236" t="s">
        <v>30</v>
      </c>
      <c r="E236" t="s">
        <v>37</v>
      </c>
      <c r="F236">
        <v>17</v>
      </c>
      <c r="G236">
        <v>790</v>
      </c>
      <c r="H236">
        <v>13430</v>
      </c>
    </row>
    <row r="237" spans="1:8" x14ac:dyDescent="0.3">
      <c r="A237" s="1">
        <v>44479</v>
      </c>
      <c r="B237" t="s">
        <v>22</v>
      </c>
      <c r="C237" t="s">
        <v>9</v>
      </c>
      <c r="D237" t="s">
        <v>39</v>
      </c>
      <c r="E237" t="s">
        <v>27</v>
      </c>
      <c r="F237">
        <v>47</v>
      </c>
      <c r="G237">
        <v>1080</v>
      </c>
      <c r="H237">
        <v>50760</v>
      </c>
    </row>
    <row r="238" spans="1:8" x14ac:dyDescent="0.3">
      <c r="A238" s="1">
        <v>44479</v>
      </c>
      <c r="B238" t="s">
        <v>36</v>
      </c>
      <c r="C238" t="s">
        <v>13</v>
      </c>
      <c r="D238" t="s">
        <v>38</v>
      </c>
      <c r="E238" t="s">
        <v>31</v>
      </c>
      <c r="F238">
        <v>45</v>
      </c>
      <c r="G238">
        <v>950</v>
      </c>
      <c r="H238">
        <v>42750</v>
      </c>
    </row>
    <row r="239" spans="1:8" x14ac:dyDescent="0.3">
      <c r="A239" s="1">
        <v>44488</v>
      </c>
      <c r="B239" t="s">
        <v>35</v>
      </c>
      <c r="C239" t="s">
        <v>13</v>
      </c>
      <c r="D239" t="s">
        <v>10</v>
      </c>
      <c r="E239" t="s">
        <v>24</v>
      </c>
      <c r="F239">
        <v>15</v>
      </c>
      <c r="G239">
        <v>1575</v>
      </c>
      <c r="H239">
        <v>23625</v>
      </c>
    </row>
    <row r="240" spans="1:8" x14ac:dyDescent="0.3">
      <c r="A240" s="1">
        <v>44270</v>
      </c>
      <c r="B240" t="s">
        <v>20</v>
      </c>
      <c r="C240" t="s">
        <v>17</v>
      </c>
      <c r="D240" t="s">
        <v>28</v>
      </c>
      <c r="E240" t="s">
        <v>15</v>
      </c>
      <c r="F240">
        <v>35</v>
      </c>
      <c r="G240">
        <v>75</v>
      </c>
      <c r="H240">
        <v>2625</v>
      </c>
    </row>
    <row r="241" spans="1:8" x14ac:dyDescent="0.3">
      <c r="A241" s="1">
        <v>44274</v>
      </c>
      <c r="B241" t="s">
        <v>25</v>
      </c>
      <c r="C241" t="s">
        <v>9</v>
      </c>
      <c r="D241" t="s">
        <v>28</v>
      </c>
      <c r="E241" t="s">
        <v>19</v>
      </c>
      <c r="F241">
        <v>40</v>
      </c>
      <c r="G241">
        <v>1500</v>
      </c>
      <c r="H241">
        <v>60000</v>
      </c>
    </row>
    <row r="242" spans="1:8" x14ac:dyDescent="0.3">
      <c r="A242" s="1">
        <v>44487</v>
      </c>
      <c r="B242" t="s">
        <v>20</v>
      </c>
      <c r="C242" t="s">
        <v>17</v>
      </c>
      <c r="D242" t="s">
        <v>28</v>
      </c>
      <c r="E242" t="s">
        <v>19</v>
      </c>
      <c r="F242">
        <v>38</v>
      </c>
      <c r="G242">
        <v>75</v>
      </c>
      <c r="H242">
        <v>2850</v>
      </c>
    </row>
    <row r="243" spans="1:8" x14ac:dyDescent="0.3">
      <c r="A243" s="1">
        <v>44474</v>
      </c>
      <c r="B243" t="s">
        <v>22</v>
      </c>
      <c r="C243" t="s">
        <v>9</v>
      </c>
      <c r="D243" t="s">
        <v>34</v>
      </c>
      <c r="E243" t="s">
        <v>27</v>
      </c>
      <c r="F243">
        <v>22</v>
      </c>
      <c r="G243">
        <v>1080</v>
      </c>
      <c r="H243">
        <v>23760</v>
      </c>
    </row>
    <row r="244" spans="1:8" x14ac:dyDescent="0.3">
      <c r="A244" s="1">
        <v>44253</v>
      </c>
      <c r="B244" t="s">
        <v>33</v>
      </c>
      <c r="C244" t="s">
        <v>17</v>
      </c>
      <c r="D244" t="s">
        <v>14</v>
      </c>
      <c r="E244" t="s">
        <v>31</v>
      </c>
      <c r="F244">
        <v>3</v>
      </c>
      <c r="G244">
        <v>350</v>
      </c>
      <c r="H244">
        <v>1050</v>
      </c>
    </row>
    <row r="245" spans="1:8" x14ac:dyDescent="0.3">
      <c r="A245" s="1">
        <v>44530</v>
      </c>
      <c r="B245" t="s">
        <v>36</v>
      </c>
      <c r="C245" t="s">
        <v>13</v>
      </c>
      <c r="D245" t="s">
        <v>14</v>
      </c>
      <c r="E245" t="s">
        <v>29</v>
      </c>
      <c r="F245">
        <v>4</v>
      </c>
      <c r="G245">
        <v>950</v>
      </c>
      <c r="H245">
        <v>3800</v>
      </c>
    </row>
    <row r="246" spans="1:8" x14ac:dyDescent="0.3">
      <c r="A246" s="1">
        <v>44526</v>
      </c>
      <c r="B246" t="s">
        <v>8</v>
      </c>
      <c r="C246" t="s">
        <v>9</v>
      </c>
      <c r="D246" t="s">
        <v>18</v>
      </c>
      <c r="E246" t="s">
        <v>11</v>
      </c>
      <c r="F246">
        <v>44</v>
      </c>
      <c r="G246">
        <v>2001</v>
      </c>
      <c r="H246">
        <v>88044</v>
      </c>
    </row>
    <row r="247" spans="1:8" x14ac:dyDescent="0.3">
      <c r="A247" s="1">
        <v>44380</v>
      </c>
      <c r="B247" t="s">
        <v>36</v>
      </c>
      <c r="C247" t="s">
        <v>13</v>
      </c>
      <c r="D247" t="s">
        <v>28</v>
      </c>
      <c r="E247" t="s">
        <v>11</v>
      </c>
      <c r="F247">
        <v>25</v>
      </c>
      <c r="G247">
        <v>950</v>
      </c>
      <c r="H247">
        <v>23750</v>
      </c>
    </row>
    <row r="248" spans="1:8" x14ac:dyDescent="0.3">
      <c r="A248" s="1">
        <v>44410</v>
      </c>
      <c r="B248" t="s">
        <v>22</v>
      </c>
      <c r="C248" t="s">
        <v>9</v>
      </c>
      <c r="D248" t="s">
        <v>18</v>
      </c>
      <c r="E248" t="s">
        <v>31</v>
      </c>
      <c r="F248">
        <v>35</v>
      </c>
      <c r="G248">
        <v>1080</v>
      </c>
      <c r="H248">
        <v>37800</v>
      </c>
    </row>
    <row r="249" spans="1:8" x14ac:dyDescent="0.3">
      <c r="A249" s="1">
        <v>44345</v>
      </c>
      <c r="B249" t="s">
        <v>12</v>
      </c>
      <c r="C249" t="s">
        <v>13</v>
      </c>
      <c r="D249" t="s">
        <v>28</v>
      </c>
      <c r="E249" t="s">
        <v>29</v>
      </c>
      <c r="F249">
        <v>45</v>
      </c>
      <c r="G249">
        <v>790</v>
      </c>
      <c r="H249">
        <v>35550</v>
      </c>
    </row>
    <row r="250" spans="1:8" x14ac:dyDescent="0.3">
      <c r="A250" s="1">
        <v>44502</v>
      </c>
      <c r="B250" t="s">
        <v>33</v>
      </c>
      <c r="C250" t="s">
        <v>17</v>
      </c>
      <c r="D250" t="s">
        <v>39</v>
      </c>
      <c r="E250" t="s">
        <v>31</v>
      </c>
      <c r="F250">
        <v>34</v>
      </c>
      <c r="G250">
        <v>350</v>
      </c>
      <c r="H250">
        <v>11900</v>
      </c>
    </row>
    <row r="251" spans="1:8" x14ac:dyDescent="0.3">
      <c r="A251" s="1">
        <v>44443</v>
      </c>
      <c r="B251" t="s">
        <v>22</v>
      </c>
      <c r="C251" t="s">
        <v>9</v>
      </c>
      <c r="D251" t="s">
        <v>18</v>
      </c>
      <c r="E251" t="s">
        <v>29</v>
      </c>
      <c r="F251">
        <v>32</v>
      </c>
      <c r="G251">
        <v>1080</v>
      </c>
      <c r="H251">
        <v>34560</v>
      </c>
    </row>
    <row r="252" spans="1:8" x14ac:dyDescent="0.3">
      <c r="A252" s="1">
        <v>44316</v>
      </c>
      <c r="B252" t="s">
        <v>8</v>
      </c>
      <c r="C252" t="s">
        <v>9</v>
      </c>
      <c r="D252" t="s">
        <v>34</v>
      </c>
      <c r="E252" t="s">
        <v>15</v>
      </c>
      <c r="F252">
        <v>28</v>
      </c>
      <c r="G252">
        <v>2001</v>
      </c>
      <c r="H252">
        <v>56028</v>
      </c>
    </row>
    <row r="253" spans="1:8" x14ac:dyDescent="0.3">
      <c r="A253" s="1">
        <v>44404</v>
      </c>
      <c r="B253" t="s">
        <v>12</v>
      </c>
      <c r="C253" t="s">
        <v>13</v>
      </c>
      <c r="D253" t="s">
        <v>30</v>
      </c>
      <c r="E253" t="s">
        <v>31</v>
      </c>
      <c r="F253">
        <v>17</v>
      </c>
      <c r="G253">
        <v>790</v>
      </c>
      <c r="H253">
        <v>13430</v>
      </c>
    </row>
    <row r="254" spans="1:8" x14ac:dyDescent="0.3">
      <c r="A254" s="1">
        <v>44214</v>
      </c>
      <c r="B254" t="s">
        <v>22</v>
      </c>
      <c r="C254" t="s">
        <v>9</v>
      </c>
      <c r="D254" t="s">
        <v>39</v>
      </c>
      <c r="E254" t="s">
        <v>23</v>
      </c>
      <c r="F254">
        <v>31</v>
      </c>
      <c r="G254">
        <v>1080</v>
      </c>
      <c r="H254">
        <v>33480</v>
      </c>
    </row>
    <row r="255" spans="1:8" x14ac:dyDescent="0.3">
      <c r="A255" s="1">
        <v>44331</v>
      </c>
      <c r="B255" t="s">
        <v>22</v>
      </c>
      <c r="C255" t="s">
        <v>9</v>
      </c>
      <c r="D255" t="s">
        <v>34</v>
      </c>
      <c r="E255" t="s">
        <v>24</v>
      </c>
      <c r="F255">
        <v>2</v>
      </c>
      <c r="G255">
        <v>1080</v>
      </c>
      <c r="H255">
        <v>2160</v>
      </c>
    </row>
    <row r="256" spans="1:8" x14ac:dyDescent="0.3">
      <c r="A256" s="1">
        <v>44514</v>
      </c>
      <c r="B256" t="s">
        <v>25</v>
      </c>
      <c r="C256" t="s">
        <v>9</v>
      </c>
      <c r="D256" t="s">
        <v>39</v>
      </c>
      <c r="E256" t="s">
        <v>27</v>
      </c>
      <c r="F256">
        <v>35</v>
      </c>
      <c r="G256">
        <v>1500</v>
      </c>
      <c r="H256">
        <v>52500</v>
      </c>
    </row>
    <row r="257" spans="1:8" x14ac:dyDescent="0.3">
      <c r="A257" s="1">
        <v>44434</v>
      </c>
      <c r="B257" t="s">
        <v>35</v>
      </c>
      <c r="C257" t="s">
        <v>13</v>
      </c>
      <c r="D257" t="s">
        <v>14</v>
      </c>
      <c r="E257" t="s">
        <v>11</v>
      </c>
      <c r="F257">
        <v>48</v>
      </c>
      <c r="G257">
        <v>1575</v>
      </c>
      <c r="H257">
        <v>75600</v>
      </c>
    </row>
    <row r="258" spans="1:8" x14ac:dyDescent="0.3">
      <c r="A258" s="1">
        <v>44336</v>
      </c>
      <c r="B258" t="s">
        <v>12</v>
      </c>
      <c r="C258" t="s">
        <v>13</v>
      </c>
      <c r="D258" t="s">
        <v>30</v>
      </c>
      <c r="E258" t="s">
        <v>19</v>
      </c>
      <c r="F258">
        <v>6</v>
      </c>
      <c r="G258">
        <v>790</v>
      </c>
      <c r="H258">
        <v>4740</v>
      </c>
    </row>
    <row r="259" spans="1:8" x14ac:dyDescent="0.3">
      <c r="A259" s="1">
        <v>44225</v>
      </c>
      <c r="B259" t="s">
        <v>33</v>
      </c>
      <c r="C259" t="s">
        <v>17</v>
      </c>
      <c r="D259" t="s">
        <v>30</v>
      </c>
      <c r="E259" t="s">
        <v>29</v>
      </c>
      <c r="F259">
        <v>29</v>
      </c>
      <c r="G259">
        <v>350</v>
      </c>
      <c r="H259">
        <v>10150</v>
      </c>
    </row>
    <row r="260" spans="1:8" x14ac:dyDescent="0.3">
      <c r="A260" s="1">
        <v>44481</v>
      </c>
      <c r="B260" t="s">
        <v>22</v>
      </c>
      <c r="C260" t="s">
        <v>9</v>
      </c>
      <c r="D260" t="s">
        <v>14</v>
      </c>
      <c r="E260" t="s">
        <v>37</v>
      </c>
      <c r="F260">
        <v>41</v>
      </c>
      <c r="G260">
        <v>1080</v>
      </c>
      <c r="H260">
        <v>44280</v>
      </c>
    </row>
    <row r="261" spans="1:8" x14ac:dyDescent="0.3">
      <c r="A261" s="1">
        <v>44416</v>
      </c>
      <c r="B261" t="s">
        <v>36</v>
      </c>
      <c r="C261" t="s">
        <v>13</v>
      </c>
      <c r="D261" t="s">
        <v>28</v>
      </c>
      <c r="E261" t="s">
        <v>19</v>
      </c>
      <c r="F261">
        <v>11</v>
      </c>
      <c r="G261">
        <v>950</v>
      </c>
      <c r="H261">
        <v>10450</v>
      </c>
    </row>
    <row r="262" spans="1:8" x14ac:dyDescent="0.3">
      <c r="A262" s="1">
        <v>44199</v>
      </c>
      <c r="B262" t="s">
        <v>36</v>
      </c>
      <c r="C262" t="s">
        <v>13</v>
      </c>
      <c r="D262" t="s">
        <v>38</v>
      </c>
      <c r="E262" t="s">
        <v>11</v>
      </c>
      <c r="F262">
        <v>30</v>
      </c>
      <c r="G262">
        <v>950</v>
      </c>
      <c r="H262">
        <v>28500</v>
      </c>
    </row>
    <row r="263" spans="1:8" x14ac:dyDescent="0.3">
      <c r="A263" s="1">
        <v>44557</v>
      </c>
      <c r="B263" t="s">
        <v>36</v>
      </c>
      <c r="C263" t="s">
        <v>13</v>
      </c>
      <c r="D263" t="s">
        <v>32</v>
      </c>
      <c r="E263" t="s">
        <v>27</v>
      </c>
      <c r="F263">
        <v>11</v>
      </c>
      <c r="G263">
        <v>950</v>
      </c>
      <c r="H263">
        <v>10450</v>
      </c>
    </row>
    <row r="264" spans="1:8" x14ac:dyDescent="0.3">
      <c r="A264" s="1">
        <v>44442</v>
      </c>
      <c r="B264" t="s">
        <v>33</v>
      </c>
      <c r="C264" t="s">
        <v>17</v>
      </c>
      <c r="D264" t="s">
        <v>32</v>
      </c>
      <c r="E264" t="s">
        <v>31</v>
      </c>
      <c r="F264">
        <v>39</v>
      </c>
      <c r="G264">
        <v>350</v>
      </c>
      <c r="H264">
        <v>13650</v>
      </c>
    </row>
    <row r="265" spans="1:8" x14ac:dyDescent="0.3">
      <c r="A265" s="1">
        <v>44369</v>
      </c>
      <c r="B265" t="s">
        <v>22</v>
      </c>
      <c r="C265" t="s">
        <v>9</v>
      </c>
      <c r="D265" t="s">
        <v>32</v>
      </c>
      <c r="E265" t="s">
        <v>15</v>
      </c>
      <c r="F265">
        <v>49</v>
      </c>
      <c r="G265">
        <v>1080</v>
      </c>
      <c r="H265">
        <v>52920</v>
      </c>
    </row>
    <row r="266" spans="1:8" x14ac:dyDescent="0.3">
      <c r="A266" s="1">
        <v>44429</v>
      </c>
      <c r="B266" t="s">
        <v>25</v>
      </c>
      <c r="C266" t="s">
        <v>9</v>
      </c>
      <c r="D266" t="s">
        <v>34</v>
      </c>
      <c r="E266" t="s">
        <v>29</v>
      </c>
      <c r="F266">
        <v>27</v>
      </c>
      <c r="G266">
        <v>1500</v>
      </c>
      <c r="H266">
        <v>40500</v>
      </c>
    </row>
    <row r="267" spans="1:8" x14ac:dyDescent="0.3">
      <c r="A267" s="1">
        <v>44313</v>
      </c>
      <c r="B267" t="s">
        <v>36</v>
      </c>
      <c r="C267" t="s">
        <v>13</v>
      </c>
      <c r="D267" t="s">
        <v>30</v>
      </c>
      <c r="E267" t="s">
        <v>24</v>
      </c>
      <c r="F267">
        <v>25</v>
      </c>
      <c r="G267">
        <v>950</v>
      </c>
      <c r="H267">
        <v>23750</v>
      </c>
    </row>
    <row r="268" spans="1:8" x14ac:dyDescent="0.3">
      <c r="A268" s="1">
        <v>44197</v>
      </c>
      <c r="B268" t="s">
        <v>22</v>
      </c>
      <c r="C268" t="s">
        <v>9</v>
      </c>
      <c r="D268" t="s">
        <v>28</v>
      </c>
      <c r="E268" t="s">
        <v>24</v>
      </c>
      <c r="F268">
        <v>45</v>
      </c>
      <c r="G268">
        <v>1080</v>
      </c>
      <c r="H268">
        <v>48600</v>
      </c>
    </row>
    <row r="269" spans="1:8" x14ac:dyDescent="0.3">
      <c r="A269" s="1">
        <v>44299</v>
      </c>
      <c r="B269" t="s">
        <v>20</v>
      </c>
      <c r="C269" t="s">
        <v>17</v>
      </c>
      <c r="D269" t="s">
        <v>28</v>
      </c>
      <c r="E269" t="s">
        <v>37</v>
      </c>
      <c r="F269">
        <v>20</v>
      </c>
      <c r="G269">
        <v>75</v>
      </c>
      <c r="H269">
        <v>1500</v>
      </c>
    </row>
    <row r="270" spans="1:8" x14ac:dyDescent="0.3">
      <c r="A270" s="1">
        <v>44372</v>
      </c>
      <c r="B270" t="s">
        <v>35</v>
      </c>
      <c r="C270" t="s">
        <v>13</v>
      </c>
      <c r="D270" t="s">
        <v>30</v>
      </c>
      <c r="E270" t="s">
        <v>27</v>
      </c>
      <c r="F270">
        <v>30</v>
      </c>
      <c r="G270">
        <v>1575</v>
      </c>
      <c r="H270">
        <v>47250</v>
      </c>
    </row>
    <row r="271" spans="1:8" x14ac:dyDescent="0.3">
      <c r="A271" s="1">
        <v>44541</v>
      </c>
      <c r="B271" t="s">
        <v>35</v>
      </c>
      <c r="C271" t="s">
        <v>13</v>
      </c>
      <c r="D271" t="s">
        <v>38</v>
      </c>
      <c r="E271" t="s">
        <v>15</v>
      </c>
      <c r="F271">
        <v>29</v>
      </c>
      <c r="G271">
        <v>1575</v>
      </c>
      <c r="H271">
        <v>45675</v>
      </c>
    </row>
    <row r="272" spans="1:8" x14ac:dyDescent="0.3">
      <c r="A272" s="1">
        <v>44420</v>
      </c>
      <c r="B272" t="s">
        <v>35</v>
      </c>
      <c r="C272" t="s">
        <v>13</v>
      </c>
      <c r="D272" t="s">
        <v>30</v>
      </c>
      <c r="E272" t="s">
        <v>37</v>
      </c>
      <c r="F272">
        <v>9</v>
      </c>
      <c r="G272">
        <v>1575</v>
      </c>
      <c r="H272">
        <v>14175</v>
      </c>
    </row>
    <row r="273" spans="1:8" x14ac:dyDescent="0.3">
      <c r="A273" s="1">
        <v>44235</v>
      </c>
      <c r="B273" t="s">
        <v>35</v>
      </c>
      <c r="C273" t="s">
        <v>13</v>
      </c>
      <c r="D273" t="s">
        <v>14</v>
      </c>
      <c r="E273" t="s">
        <v>23</v>
      </c>
      <c r="F273">
        <v>45</v>
      </c>
      <c r="G273">
        <v>1575</v>
      </c>
      <c r="H273">
        <v>70875</v>
      </c>
    </row>
    <row r="274" spans="1:8" x14ac:dyDescent="0.3">
      <c r="A274" s="1">
        <v>44404</v>
      </c>
      <c r="B274" t="s">
        <v>16</v>
      </c>
      <c r="C274" t="s">
        <v>17</v>
      </c>
      <c r="D274" t="s">
        <v>10</v>
      </c>
      <c r="E274" t="s">
        <v>11</v>
      </c>
      <c r="F274">
        <v>45</v>
      </c>
      <c r="G274">
        <v>315</v>
      </c>
      <c r="H274">
        <v>14175</v>
      </c>
    </row>
    <row r="275" spans="1:8" x14ac:dyDescent="0.3">
      <c r="A275" s="1">
        <v>44490</v>
      </c>
      <c r="B275" t="s">
        <v>8</v>
      </c>
      <c r="C275" t="s">
        <v>9</v>
      </c>
      <c r="D275" t="s">
        <v>21</v>
      </c>
      <c r="E275" t="s">
        <v>29</v>
      </c>
      <c r="F275">
        <v>3</v>
      </c>
      <c r="G275">
        <v>2001</v>
      </c>
      <c r="H275">
        <v>6003</v>
      </c>
    </row>
    <row r="276" spans="1:8" x14ac:dyDescent="0.3">
      <c r="A276" s="1">
        <v>44549</v>
      </c>
      <c r="B276" t="s">
        <v>36</v>
      </c>
      <c r="C276" t="s">
        <v>13</v>
      </c>
      <c r="D276" t="s">
        <v>18</v>
      </c>
      <c r="E276" t="s">
        <v>15</v>
      </c>
      <c r="F276">
        <v>32</v>
      </c>
      <c r="G276">
        <v>950</v>
      </c>
      <c r="H276">
        <v>30400</v>
      </c>
    </row>
    <row r="277" spans="1:8" x14ac:dyDescent="0.3">
      <c r="A277" s="1">
        <v>44461</v>
      </c>
      <c r="B277" t="s">
        <v>22</v>
      </c>
      <c r="C277" t="s">
        <v>9</v>
      </c>
      <c r="D277" t="s">
        <v>10</v>
      </c>
      <c r="E277" t="s">
        <v>15</v>
      </c>
      <c r="F277">
        <v>1</v>
      </c>
      <c r="G277">
        <v>1080</v>
      </c>
      <c r="H277">
        <v>1080</v>
      </c>
    </row>
    <row r="278" spans="1:8" x14ac:dyDescent="0.3">
      <c r="A278" s="1">
        <v>44523</v>
      </c>
      <c r="B278" t="s">
        <v>8</v>
      </c>
      <c r="C278" t="s">
        <v>9</v>
      </c>
      <c r="D278" t="s">
        <v>18</v>
      </c>
      <c r="E278" t="s">
        <v>19</v>
      </c>
      <c r="F278">
        <v>37</v>
      </c>
      <c r="G278">
        <v>2001</v>
      </c>
      <c r="H278">
        <v>74037</v>
      </c>
    </row>
    <row r="279" spans="1:8" x14ac:dyDescent="0.3">
      <c r="A279" s="1">
        <v>44258</v>
      </c>
      <c r="B279" t="s">
        <v>35</v>
      </c>
      <c r="C279" t="s">
        <v>13</v>
      </c>
      <c r="D279" t="s">
        <v>38</v>
      </c>
      <c r="E279" t="s">
        <v>11</v>
      </c>
      <c r="F279">
        <v>5</v>
      </c>
      <c r="G279">
        <v>1575</v>
      </c>
      <c r="H279">
        <v>7875</v>
      </c>
    </row>
    <row r="280" spans="1:8" x14ac:dyDescent="0.3">
      <c r="A280" s="1">
        <v>44306</v>
      </c>
      <c r="B280" t="s">
        <v>16</v>
      </c>
      <c r="C280" t="s">
        <v>17</v>
      </c>
      <c r="D280" t="s">
        <v>21</v>
      </c>
      <c r="E280" t="s">
        <v>15</v>
      </c>
      <c r="F280">
        <v>13</v>
      </c>
      <c r="G280">
        <v>315</v>
      </c>
      <c r="H280">
        <v>4095</v>
      </c>
    </row>
    <row r="281" spans="1:8" x14ac:dyDescent="0.3">
      <c r="A281" s="1">
        <v>44307</v>
      </c>
      <c r="B281" t="s">
        <v>33</v>
      </c>
      <c r="C281" t="s">
        <v>17</v>
      </c>
      <c r="D281" t="s">
        <v>34</v>
      </c>
      <c r="E281" t="s">
        <v>19</v>
      </c>
      <c r="F281">
        <v>3</v>
      </c>
      <c r="G281">
        <v>350</v>
      </c>
      <c r="H281">
        <v>1050</v>
      </c>
    </row>
    <row r="282" spans="1:8" x14ac:dyDescent="0.3">
      <c r="A282" s="1">
        <v>44259</v>
      </c>
      <c r="B282" t="s">
        <v>33</v>
      </c>
      <c r="C282" t="s">
        <v>17</v>
      </c>
      <c r="D282" t="s">
        <v>32</v>
      </c>
      <c r="E282" t="s">
        <v>24</v>
      </c>
      <c r="F282">
        <v>5</v>
      </c>
      <c r="G282">
        <v>350</v>
      </c>
      <c r="H282">
        <v>1750</v>
      </c>
    </row>
    <row r="283" spans="1:8" x14ac:dyDescent="0.3">
      <c r="A283" s="1">
        <v>44532</v>
      </c>
      <c r="B283" t="s">
        <v>22</v>
      </c>
      <c r="C283" t="s">
        <v>9</v>
      </c>
      <c r="D283" t="s">
        <v>34</v>
      </c>
      <c r="E283" t="s">
        <v>37</v>
      </c>
      <c r="F283">
        <v>40</v>
      </c>
      <c r="G283">
        <v>1080</v>
      </c>
      <c r="H283">
        <v>43200</v>
      </c>
    </row>
    <row r="284" spans="1:8" x14ac:dyDescent="0.3">
      <c r="A284" s="1">
        <v>44412</v>
      </c>
      <c r="B284" t="s">
        <v>35</v>
      </c>
      <c r="C284" t="s">
        <v>13</v>
      </c>
      <c r="D284" t="s">
        <v>39</v>
      </c>
      <c r="E284" t="s">
        <v>37</v>
      </c>
      <c r="F284">
        <v>13</v>
      </c>
      <c r="G284">
        <v>1575</v>
      </c>
      <c r="H284">
        <v>20475</v>
      </c>
    </row>
    <row r="285" spans="1:8" x14ac:dyDescent="0.3">
      <c r="A285" s="1">
        <v>44393</v>
      </c>
      <c r="B285" t="s">
        <v>12</v>
      </c>
      <c r="C285" t="s">
        <v>13</v>
      </c>
      <c r="D285" t="s">
        <v>10</v>
      </c>
      <c r="E285" t="s">
        <v>29</v>
      </c>
      <c r="F285">
        <v>34</v>
      </c>
      <c r="G285">
        <v>790</v>
      </c>
      <c r="H285">
        <v>26860</v>
      </c>
    </row>
    <row r="286" spans="1:8" x14ac:dyDescent="0.3">
      <c r="A286" s="1">
        <v>44437</v>
      </c>
      <c r="B286" t="s">
        <v>25</v>
      </c>
      <c r="C286" t="s">
        <v>9</v>
      </c>
      <c r="D286" t="s">
        <v>39</v>
      </c>
      <c r="E286" t="s">
        <v>15</v>
      </c>
      <c r="F286">
        <v>15</v>
      </c>
      <c r="G286">
        <v>1500</v>
      </c>
      <c r="H286">
        <v>22500</v>
      </c>
    </row>
    <row r="287" spans="1:8" x14ac:dyDescent="0.3">
      <c r="A287" s="1">
        <v>44303</v>
      </c>
      <c r="B287" t="s">
        <v>33</v>
      </c>
      <c r="C287" t="s">
        <v>17</v>
      </c>
      <c r="D287" t="s">
        <v>38</v>
      </c>
      <c r="E287" t="s">
        <v>26</v>
      </c>
      <c r="F287">
        <v>27</v>
      </c>
      <c r="G287">
        <v>350</v>
      </c>
      <c r="H287">
        <v>9450</v>
      </c>
    </row>
    <row r="288" spans="1:8" x14ac:dyDescent="0.3">
      <c r="A288" s="1">
        <v>44265</v>
      </c>
      <c r="B288" t="s">
        <v>20</v>
      </c>
      <c r="C288" t="s">
        <v>17</v>
      </c>
      <c r="D288" t="s">
        <v>21</v>
      </c>
      <c r="E288" t="s">
        <v>15</v>
      </c>
      <c r="F288">
        <v>3</v>
      </c>
      <c r="G288">
        <v>75</v>
      </c>
      <c r="H288">
        <v>225</v>
      </c>
    </row>
    <row r="289" spans="1:8" x14ac:dyDescent="0.3">
      <c r="A289" s="1">
        <v>44268</v>
      </c>
      <c r="B289" t="s">
        <v>25</v>
      </c>
      <c r="C289" t="s">
        <v>9</v>
      </c>
      <c r="D289" t="s">
        <v>32</v>
      </c>
      <c r="E289" t="s">
        <v>23</v>
      </c>
      <c r="F289">
        <v>32</v>
      </c>
      <c r="G289">
        <v>1500</v>
      </c>
      <c r="H289">
        <v>48000</v>
      </c>
    </row>
    <row r="290" spans="1:8" x14ac:dyDescent="0.3">
      <c r="A290" s="1">
        <v>44513</v>
      </c>
      <c r="B290" t="s">
        <v>36</v>
      </c>
      <c r="C290" t="s">
        <v>13</v>
      </c>
      <c r="D290" t="s">
        <v>10</v>
      </c>
      <c r="E290" t="s">
        <v>24</v>
      </c>
      <c r="F290">
        <v>16</v>
      </c>
      <c r="G290">
        <v>950</v>
      </c>
      <c r="H290">
        <v>15200</v>
      </c>
    </row>
    <row r="291" spans="1:8" x14ac:dyDescent="0.3">
      <c r="A291" s="1">
        <v>44493</v>
      </c>
      <c r="B291" t="s">
        <v>22</v>
      </c>
      <c r="C291" t="s">
        <v>9</v>
      </c>
      <c r="D291" t="s">
        <v>28</v>
      </c>
      <c r="E291" t="s">
        <v>26</v>
      </c>
      <c r="F291">
        <v>33</v>
      </c>
      <c r="G291">
        <v>1080</v>
      </c>
      <c r="H291">
        <v>35640</v>
      </c>
    </row>
    <row r="292" spans="1:8" x14ac:dyDescent="0.3">
      <c r="A292" s="1">
        <v>44502</v>
      </c>
      <c r="B292" t="s">
        <v>20</v>
      </c>
      <c r="C292" t="s">
        <v>17</v>
      </c>
      <c r="D292" t="s">
        <v>21</v>
      </c>
      <c r="E292" t="s">
        <v>29</v>
      </c>
      <c r="F292">
        <v>41</v>
      </c>
      <c r="G292">
        <v>75</v>
      </c>
      <c r="H292">
        <v>3075</v>
      </c>
    </row>
    <row r="293" spans="1:8" x14ac:dyDescent="0.3">
      <c r="A293" s="1">
        <v>44521</v>
      </c>
      <c r="B293" t="s">
        <v>12</v>
      </c>
      <c r="C293" t="s">
        <v>13</v>
      </c>
      <c r="D293" t="s">
        <v>10</v>
      </c>
      <c r="E293" t="s">
        <v>37</v>
      </c>
      <c r="F293">
        <v>46</v>
      </c>
      <c r="G293">
        <v>790</v>
      </c>
      <c r="H293">
        <v>36340</v>
      </c>
    </row>
    <row r="294" spans="1:8" x14ac:dyDescent="0.3">
      <c r="A294" s="1">
        <v>44269</v>
      </c>
      <c r="B294" t="s">
        <v>33</v>
      </c>
      <c r="C294" t="s">
        <v>17</v>
      </c>
      <c r="D294" t="s">
        <v>21</v>
      </c>
      <c r="E294" t="s">
        <v>29</v>
      </c>
      <c r="F294">
        <v>29</v>
      </c>
      <c r="G294">
        <v>350</v>
      </c>
      <c r="H294">
        <v>10150</v>
      </c>
    </row>
    <row r="295" spans="1:8" x14ac:dyDescent="0.3">
      <c r="A295" s="1">
        <v>44203</v>
      </c>
      <c r="B295" t="s">
        <v>36</v>
      </c>
      <c r="C295" t="s">
        <v>13</v>
      </c>
      <c r="D295" t="s">
        <v>39</v>
      </c>
      <c r="E295" t="s">
        <v>37</v>
      </c>
      <c r="F295">
        <v>49</v>
      </c>
      <c r="G295">
        <v>950</v>
      </c>
      <c r="H295">
        <v>46550</v>
      </c>
    </row>
    <row r="296" spans="1:8" x14ac:dyDescent="0.3">
      <c r="A296" s="1">
        <v>44422</v>
      </c>
      <c r="B296" t="s">
        <v>12</v>
      </c>
      <c r="C296" t="s">
        <v>13</v>
      </c>
      <c r="D296" t="s">
        <v>32</v>
      </c>
      <c r="E296" t="s">
        <v>24</v>
      </c>
      <c r="F296">
        <v>12</v>
      </c>
      <c r="G296">
        <v>790</v>
      </c>
      <c r="H296">
        <v>9480</v>
      </c>
    </row>
    <row r="297" spans="1:8" x14ac:dyDescent="0.3">
      <c r="A297" s="1">
        <v>44319</v>
      </c>
      <c r="B297" t="s">
        <v>22</v>
      </c>
      <c r="C297" t="s">
        <v>9</v>
      </c>
      <c r="D297" t="s">
        <v>39</v>
      </c>
      <c r="E297" t="s">
        <v>15</v>
      </c>
      <c r="F297">
        <v>25</v>
      </c>
      <c r="G297">
        <v>1080</v>
      </c>
      <c r="H297">
        <v>27000</v>
      </c>
    </row>
    <row r="298" spans="1:8" x14ac:dyDescent="0.3">
      <c r="A298" s="1">
        <v>44420</v>
      </c>
      <c r="B298" t="s">
        <v>33</v>
      </c>
      <c r="C298" t="s">
        <v>17</v>
      </c>
      <c r="D298" t="s">
        <v>10</v>
      </c>
      <c r="E298" t="s">
        <v>23</v>
      </c>
      <c r="F298">
        <v>12</v>
      </c>
      <c r="G298">
        <v>350</v>
      </c>
      <c r="H298">
        <v>4200</v>
      </c>
    </row>
    <row r="299" spans="1:8" x14ac:dyDescent="0.3">
      <c r="A299" s="1">
        <v>44546</v>
      </c>
      <c r="B299" t="s">
        <v>12</v>
      </c>
      <c r="C299" t="s">
        <v>13</v>
      </c>
      <c r="D299" t="s">
        <v>10</v>
      </c>
      <c r="E299" t="s">
        <v>15</v>
      </c>
      <c r="F299">
        <v>45</v>
      </c>
      <c r="G299">
        <v>790</v>
      </c>
      <c r="H299">
        <v>35550</v>
      </c>
    </row>
    <row r="300" spans="1:8" x14ac:dyDescent="0.3">
      <c r="A300" s="1">
        <v>44411</v>
      </c>
      <c r="B300" t="s">
        <v>33</v>
      </c>
      <c r="C300" t="s">
        <v>17</v>
      </c>
      <c r="D300" t="s">
        <v>30</v>
      </c>
      <c r="E300" t="s">
        <v>15</v>
      </c>
      <c r="F300">
        <v>49</v>
      </c>
      <c r="G300">
        <v>350</v>
      </c>
      <c r="H300">
        <v>17150</v>
      </c>
    </row>
    <row r="301" spans="1:8" x14ac:dyDescent="0.3">
      <c r="A301" s="1">
        <v>44316</v>
      </c>
      <c r="B301" t="s">
        <v>16</v>
      </c>
      <c r="C301" t="s">
        <v>17</v>
      </c>
      <c r="D301" t="s">
        <v>38</v>
      </c>
      <c r="E301" t="s">
        <v>26</v>
      </c>
      <c r="F301">
        <v>32</v>
      </c>
      <c r="G301">
        <v>315</v>
      </c>
      <c r="H301">
        <v>10080</v>
      </c>
    </row>
    <row r="302" spans="1:8" x14ac:dyDescent="0.3">
      <c r="A302" s="1">
        <v>44455</v>
      </c>
      <c r="B302" t="s">
        <v>36</v>
      </c>
      <c r="C302" t="s">
        <v>13</v>
      </c>
      <c r="D302" t="s">
        <v>18</v>
      </c>
      <c r="E302" t="s">
        <v>31</v>
      </c>
      <c r="F302">
        <v>9</v>
      </c>
      <c r="G302">
        <v>950</v>
      </c>
      <c r="H302">
        <v>8550</v>
      </c>
    </row>
    <row r="303" spans="1:8" x14ac:dyDescent="0.3">
      <c r="A303" s="1">
        <v>44506</v>
      </c>
      <c r="B303" t="s">
        <v>22</v>
      </c>
      <c r="C303" t="s">
        <v>9</v>
      </c>
      <c r="D303" t="s">
        <v>34</v>
      </c>
      <c r="E303" t="s">
        <v>31</v>
      </c>
      <c r="F303">
        <v>48</v>
      </c>
      <c r="G303">
        <v>1080</v>
      </c>
      <c r="H303">
        <v>51840</v>
      </c>
    </row>
    <row r="304" spans="1:8" x14ac:dyDescent="0.3">
      <c r="A304" s="1">
        <v>44223</v>
      </c>
      <c r="B304" t="s">
        <v>25</v>
      </c>
      <c r="C304" t="s">
        <v>9</v>
      </c>
      <c r="D304" t="s">
        <v>18</v>
      </c>
      <c r="E304" t="s">
        <v>19</v>
      </c>
      <c r="F304">
        <v>33</v>
      </c>
      <c r="G304">
        <v>1500</v>
      </c>
      <c r="H304">
        <v>49500</v>
      </c>
    </row>
    <row r="305" spans="1:8" x14ac:dyDescent="0.3">
      <c r="A305" s="1">
        <v>44336</v>
      </c>
      <c r="B305" t="s">
        <v>20</v>
      </c>
      <c r="C305" t="s">
        <v>17</v>
      </c>
      <c r="D305" t="s">
        <v>30</v>
      </c>
      <c r="E305" t="s">
        <v>29</v>
      </c>
      <c r="F305">
        <v>26</v>
      </c>
      <c r="G305">
        <v>75</v>
      </c>
      <c r="H305">
        <v>1950</v>
      </c>
    </row>
    <row r="306" spans="1:8" x14ac:dyDescent="0.3">
      <c r="A306" s="1">
        <v>44414</v>
      </c>
      <c r="B306" t="s">
        <v>36</v>
      </c>
      <c r="C306" t="s">
        <v>13</v>
      </c>
      <c r="D306" t="s">
        <v>32</v>
      </c>
      <c r="E306" t="s">
        <v>11</v>
      </c>
      <c r="F306">
        <v>45</v>
      </c>
      <c r="G306">
        <v>950</v>
      </c>
      <c r="H306">
        <v>42750</v>
      </c>
    </row>
    <row r="307" spans="1:8" x14ac:dyDescent="0.3">
      <c r="A307" s="1">
        <v>44412</v>
      </c>
      <c r="B307" t="s">
        <v>35</v>
      </c>
      <c r="C307" t="s">
        <v>13</v>
      </c>
      <c r="D307" t="s">
        <v>38</v>
      </c>
      <c r="E307" t="s">
        <v>15</v>
      </c>
      <c r="F307">
        <v>34</v>
      </c>
      <c r="G307">
        <v>1575</v>
      </c>
      <c r="H307">
        <v>53550</v>
      </c>
    </row>
    <row r="308" spans="1:8" x14ac:dyDescent="0.3">
      <c r="A308" s="1">
        <v>44372</v>
      </c>
      <c r="B308" t="s">
        <v>35</v>
      </c>
      <c r="C308" t="s">
        <v>13</v>
      </c>
      <c r="D308" t="s">
        <v>28</v>
      </c>
      <c r="E308" t="s">
        <v>31</v>
      </c>
      <c r="F308">
        <v>22</v>
      </c>
      <c r="G308">
        <v>1575</v>
      </c>
      <c r="H308">
        <v>34650</v>
      </c>
    </row>
    <row r="309" spans="1:8" x14ac:dyDescent="0.3">
      <c r="A309" s="1">
        <v>44472</v>
      </c>
      <c r="B309" t="s">
        <v>8</v>
      </c>
      <c r="C309" t="s">
        <v>9</v>
      </c>
      <c r="D309" t="s">
        <v>32</v>
      </c>
      <c r="E309" t="s">
        <v>31</v>
      </c>
      <c r="F309">
        <v>43</v>
      </c>
      <c r="G309">
        <v>2001</v>
      </c>
      <c r="H309">
        <v>86043</v>
      </c>
    </row>
    <row r="310" spans="1:8" x14ac:dyDescent="0.3">
      <c r="A310" s="1">
        <v>44360</v>
      </c>
      <c r="B310" t="s">
        <v>25</v>
      </c>
      <c r="C310" t="s">
        <v>9</v>
      </c>
      <c r="D310" t="s">
        <v>21</v>
      </c>
      <c r="E310" t="s">
        <v>23</v>
      </c>
      <c r="F310">
        <v>41</v>
      </c>
      <c r="G310">
        <v>1500</v>
      </c>
      <c r="H310">
        <v>61500</v>
      </c>
    </row>
    <row r="311" spans="1:8" x14ac:dyDescent="0.3">
      <c r="A311" s="1">
        <v>44362</v>
      </c>
      <c r="B311" t="s">
        <v>16</v>
      </c>
      <c r="C311" t="s">
        <v>17</v>
      </c>
      <c r="D311" t="s">
        <v>18</v>
      </c>
      <c r="E311" t="s">
        <v>27</v>
      </c>
      <c r="F311">
        <v>50</v>
      </c>
      <c r="G311">
        <v>315</v>
      </c>
      <c r="H311">
        <v>15750</v>
      </c>
    </row>
    <row r="312" spans="1:8" x14ac:dyDescent="0.3">
      <c r="A312" s="1">
        <v>44507</v>
      </c>
      <c r="B312" t="s">
        <v>33</v>
      </c>
      <c r="C312" t="s">
        <v>17</v>
      </c>
      <c r="D312" t="s">
        <v>30</v>
      </c>
      <c r="E312" t="s">
        <v>24</v>
      </c>
      <c r="F312">
        <v>8</v>
      </c>
      <c r="G312">
        <v>350</v>
      </c>
      <c r="H312">
        <v>2800</v>
      </c>
    </row>
    <row r="313" spans="1:8" x14ac:dyDescent="0.3">
      <c r="A313" s="1">
        <v>44549</v>
      </c>
      <c r="B313" t="s">
        <v>8</v>
      </c>
      <c r="C313" t="s">
        <v>9</v>
      </c>
      <c r="D313" t="s">
        <v>38</v>
      </c>
      <c r="E313" t="s">
        <v>11</v>
      </c>
      <c r="F313">
        <v>37</v>
      </c>
      <c r="G313">
        <v>2001</v>
      </c>
      <c r="H313">
        <v>74037</v>
      </c>
    </row>
    <row r="314" spans="1:8" x14ac:dyDescent="0.3">
      <c r="A314" s="1">
        <v>44241</v>
      </c>
      <c r="B314" t="s">
        <v>25</v>
      </c>
      <c r="C314" t="s">
        <v>9</v>
      </c>
      <c r="D314" t="s">
        <v>18</v>
      </c>
      <c r="E314" t="s">
        <v>26</v>
      </c>
      <c r="F314">
        <v>1</v>
      </c>
      <c r="G314">
        <v>1500</v>
      </c>
      <c r="H314">
        <v>1500</v>
      </c>
    </row>
    <row r="315" spans="1:8" x14ac:dyDescent="0.3">
      <c r="A315" s="1">
        <v>44475</v>
      </c>
      <c r="B315" t="s">
        <v>35</v>
      </c>
      <c r="C315" t="s">
        <v>13</v>
      </c>
      <c r="D315" t="s">
        <v>21</v>
      </c>
      <c r="E315" t="s">
        <v>26</v>
      </c>
      <c r="F315">
        <v>13</v>
      </c>
      <c r="G315">
        <v>1575</v>
      </c>
      <c r="H315">
        <v>20475</v>
      </c>
    </row>
    <row r="316" spans="1:8" x14ac:dyDescent="0.3">
      <c r="A316" s="1">
        <v>44428</v>
      </c>
      <c r="B316" t="s">
        <v>12</v>
      </c>
      <c r="C316" t="s">
        <v>13</v>
      </c>
      <c r="D316" t="s">
        <v>32</v>
      </c>
      <c r="E316" t="s">
        <v>37</v>
      </c>
      <c r="F316">
        <v>10</v>
      </c>
      <c r="G316">
        <v>790</v>
      </c>
      <c r="H316">
        <v>7900</v>
      </c>
    </row>
    <row r="317" spans="1:8" x14ac:dyDescent="0.3">
      <c r="A317" s="1">
        <v>44484</v>
      </c>
      <c r="B317" t="s">
        <v>16</v>
      </c>
      <c r="C317" t="s">
        <v>17</v>
      </c>
      <c r="D317" t="s">
        <v>34</v>
      </c>
      <c r="E317" t="s">
        <v>26</v>
      </c>
      <c r="F317">
        <v>29</v>
      </c>
      <c r="G317">
        <v>315</v>
      </c>
      <c r="H317">
        <v>9135</v>
      </c>
    </row>
    <row r="318" spans="1:8" x14ac:dyDescent="0.3">
      <c r="A318" s="1">
        <v>44337</v>
      </c>
      <c r="B318" t="s">
        <v>20</v>
      </c>
      <c r="C318" t="s">
        <v>17</v>
      </c>
      <c r="D318" t="s">
        <v>34</v>
      </c>
      <c r="E318" t="s">
        <v>11</v>
      </c>
      <c r="F318">
        <v>25</v>
      </c>
      <c r="G318">
        <v>75</v>
      </c>
      <c r="H318">
        <v>1875</v>
      </c>
    </row>
    <row r="319" spans="1:8" x14ac:dyDescent="0.3">
      <c r="A319" s="1">
        <v>44207</v>
      </c>
      <c r="B319" t="s">
        <v>8</v>
      </c>
      <c r="C319" t="s">
        <v>9</v>
      </c>
      <c r="D319" t="s">
        <v>30</v>
      </c>
      <c r="E319" t="s">
        <v>15</v>
      </c>
      <c r="F319">
        <v>1</v>
      </c>
      <c r="G319">
        <v>2001</v>
      </c>
      <c r="H319">
        <v>2001</v>
      </c>
    </row>
    <row r="320" spans="1:8" x14ac:dyDescent="0.3">
      <c r="A320" s="1">
        <v>44208</v>
      </c>
      <c r="B320" t="s">
        <v>8</v>
      </c>
      <c r="C320" t="s">
        <v>9</v>
      </c>
      <c r="D320" t="s">
        <v>28</v>
      </c>
      <c r="E320" t="s">
        <v>15</v>
      </c>
      <c r="F320">
        <v>17</v>
      </c>
      <c r="G320">
        <v>2001</v>
      </c>
      <c r="H320">
        <v>34017</v>
      </c>
    </row>
    <row r="321" spans="1:8" x14ac:dyDescent="0.3">
      <c r="A321" s="1">
        <v>44525</v>
      </c>
      <c r="B321" t="s">
        <v>12</v>
      </c>
      <c r="C321" t="s">
        <v>13</v>
      </c>
      <c r="D321" t="s">
        <v>30</v>
      </c>
      <c r="E321" t="s">
        <v>29</v>
      </c>
      <c r="F321">
        <v>18</v>
      </c>
      <c r="G321">
        <v>790</v>
      </c>
      <c r="H321">
        <v>14220</v>
      </c>
    </row>
    <row r="322" spans="1:8" x14ac:dyDescent="0.3">
      <c r="A322" s="1">
        <v>44345</v>
      </c>
      <c r="B322" t="s">
        <v>33</v>
      </c>
      <c r="C322" t="s">
        <v>17</v>
      </c>
      <c r="D322" t="s">
        <v>14</v>
      </c>
      <c r="E322" t="s">
        <v>15</v>
      </c>
      <c r="F322">
        <v>40</v>
      </c>
      <c r="G322">
        <v>350</v>
      </c>
      <c r="H322">
        <v>14000</v>
      </c>
    </row>
    <row r="323" spans="1:8" x14ac:dyDescent="0.3">
      <c r="A323" s="1">
        <v>44460</v>
      </c>
      <c r="B323" t="s">
        <v>16</v>
      </c>
      <c r="C323" t="s">
        <v>17</v>
      </c>
      <c r="D323" t="s">
        <v>34</v>
      </c>
      <c r="E323" t="s">
        <v>31</v>
      </c>
      <c r="F323">
        <v>22</v>
      </c>
      <c r="G323">
        <v>315</v>
      </c>
      <c r="H323">
        <v>6930</v>
      </c>
    </row>
    <row r="324" spans="1:8" x14ac:dyDescent="0.3">
      <c r="A324" s="1">
        <v>44477</v>
      </c>
      <c r="B324" t="s">
        <v>35</v>
      </c>
      <c r="C324" t="s">
        <v>13</v>
      </c>
      <c r="D324" t="s">
        <v>14</v>
      </c>
      <c r="E324" t="s">
        <v>24</v>
      </c>
      <c r="F324">
        <v>7</v>
      </c>
      <c r="G324">
        <v>1575</v>
      </c>
      <c r="H324">
        <v>11025</v>
      </c>
    </row>
    <row r="325" spans="1:8" x14ac:dyDescent="0.3">
      <c r="A325" s="1">
        <v>44506</v>
      </c>
      <c r="B325" t="s">
        <v>36</v>
      </c>
      <c r="C325" t="s">
        <v>13</v>
      </c>
      <c r="D325" t="s">
        <v>32</v>
      </c>
      <c r="E325" t="s">
        <v>27</v>
      </c>
      <c r="F325">
        <v>28</v>
      </c>
      <c r="G325">
        <v>950</v>
      </c>
      <c r="H325">
        <v>26600</v>
      </c>
    </row>
    <row r="326" spans="1:8" x14ac:dyDescent="0.3">
      <c r="A326" s="1">
        <v>44246</v>
      </c>
      <c r="B326" t="s">
        <v>8</v>
      </c>
      <c r="C326" t="s">
        <v>9</v>
      </c>
      <c r="D326" t="s">
        <v>38</v>
      </c>
      <c r="E326" t="s">
        <v>11</v>
      </c>
      <c r="F326">
        <v>21</v>
      </c>
      <c r="G326">
        <v>2001</v>
      </c>
      <c r="H326">
        <v>42021</v>
      </c>
    </row>
    <row r="327" spans="1:8" x14ac:dyDescent="0.3">
      <c r="A327" s="1">
        <v>44377</v>
      </c>
      <c r="B327" t="s">
        <v>12</v>
      </c>
      <c r="C327" t="s">
        <v>13</v>
      </c>
      <c r="D327" t="s">
        <v>39</v>
      </c>
      <c r="E327" t="s">
        <v>24</v>
      </c>
      <c r="F327">
        <v>3</v>
      </c>
      <c r="G327">
        <v>790</v>
      </c>
      <c r="H327">
        <v>2370</v>
      </c>
    </row>
    <row r="328" spans="1:8" x14ac:dyDescent="0.3">
      <c r="A328" s="1">
        <v>44499</v>
      </c>
      <c r="B328" t="s">
        <v>12</v>
      </c>
      <c r="C328" t="s">
        <v>13</v>
      </c>
      <c r="D328" t="s">
        <v>30</v>
      </c>
      <c r="E328" t="s">
        <v>23</v>
      </c>
      <c r="F328">
        <v>11</v>
      </c>
      <c r="G328">
        <v>790</v>
      </c>
      <c r="H328">
        <v>8690</v>
      </c>
    </row>
    <row r="329" spans="1:8" x14ac:dyDescent="0.3">
      <c r="A329" s="1">
        <v>44293</v>
      </c>
      <c r="B329" t="s">
        <v>20</v>
      </c>
      <c r="C329" t="s">
        <v>17</v>
      </c>
      <c r="D329" t="s">
        <v>39</v>
      </c>
      <c r="E329" t="s">
        <v>27</v>
      </c>
      <c r="F329">
        <v>4</v>
      </c>
      <c r="G329">
        <v>75</v>
      </c>
      <c r="H329">
        <v>300</v>
      </c>
    </row>
    <row r="330" spans="1:8" x14ac:dyDescent="0.3">
      <c r="A330" s="1">
        <v>44354</v>
      </c>
      <c r="B330" t="s">
        <v>22</v>
      </c>
      <c r="C330" t="s">
        <v>9</v>
      </c>
      <c r="D330" t="s">
        <v>28</v>
      </c>
      <c r="E330" t="s">
        <v>27</v>
      </c>
      <c r="F330">
        <v>40</v>
      </c>
      <c r="G330">
        <v>1080</v>
      </c>
      <c r="H330">
        <v>43200</v>
      </c>
    </row>
    <row r="331" spans="1:8" x14ac:dyDescent="0.3">
      <c r="A331" s="1">
        <v>44483</v>
      </c>
      <c r="B331" t="s">
        <v>25</v>
      </c>
      <c r="C331" t="s">
        <v>9</v>
      </c>
      <c r="D331" t="s">
        <v>30</v>
      </c>
      <c r="E331" t="s">
        <v>31</v>
      </c>
      <c r="F331">
        <v>31</v>
      </c>
      <c r="G331">
        <v>1500</v>
      </c>
      <c r="H331">
        <v>46500</v>
      </c>
    </row>
    <row r="332" spans="1:8" x14ac:dyDescent="0.3">
      <c r="A332" s="1">
        <v>44376</v>
      </c>
      <c r="B332" t="s">
        <v>8</v>
      </c>
      <c r="C332" t="s">
        <v>9</v>
      </c>
      <c r="D332" t="s">
        <v>38</v>
      </c>
      <c r="E332" t="s">
        <v>15</v>
      </c>
      <c r="F332">
        <v>13</v>
      </c>
      <c r="G332">
        <v>2001</v>
      </c>
      <c r="H332">
        <v>26013</v>
      </c>
    </row>
    <row r="333" spans="1:8" x14ac:dyDescent="0.3">
      <c r="A333" s="1">
        <v>44368</v>
      </c>
      <c r="B333" t="s">
        <v>16</v>
      </c>
      <c r="C333" t="s">
        <v>17</v>
      </c>
      <c r="D333" t="s">
        <v>10</v>
      </c>
      <c r="E333" t="s">
        <v>31</v>
      </c>
      <c r="F333">
        <v>49</v>
      </c>
      <c r="G333">
        <v>315</v>
      </c>
      <c r="H333">
        <v>15435</v>
      </c>
    </row>
    <row r="334" spans="1:8" x14ac:dyDescent="0.3">
      <c r="A334" s="1">
        <v>44382</v>
      </c>
      <c r="B334" t="s">
        <v>36</v>
      </c>
      <c r="C334" t="s">
        <v>13</v>
      </c>
      <c r="D334" t="s">
        <v>10</v>
      </c>
      <c r="E334" t="s">
        <v>24</v>
      </c>
      <c r="F334">
        <v>15</v>
      </c>
      <c r="G334">
        <v>950</v>
      </c>
      <c r="H334">
        <v>14250</v>
      </c>
    </row>
    <row r="335" spans="1:8" x14ac:dyDescent="0.3">
      <c r="A335" s="1">
        <v>44447</v>
      </c>
      <c r="B335" t="s">
        <v>22</v>
      </c>
      <c r="C335" t="s">
        <v>9</v>
      </c>
      <c r="D335" t="s">
        <v>30</v>
      </c>
      <c r="E335" t="s">
        <v>19</v>
      </c>
      <c r="F335">
        <v>49</v>
      </c>
      <c r="G335">
        <v>1080</v>
      </c>
      <c r="H335">
        <v>52920</v>
      </c>
    </row>
    <row r="336" spans="1:8" x14ac:dyDescent="0.3">
      <c r="A336" s="1">
        <v>44389</v>
      </c>
      <c r="B336" t="s">
        <v>16</v>
      </c>
      <c r="C336" t="s">
        <v>17</v>
      </c>
      <c r="D336" t="s">
        <v>34</v>
      </c>
      <c r="E336" t="s">
        <v>15</v>
      </c>
      <c r="F336">
        <v>13</v>
      </c>
      <c r="G336">
        <v>315</v>
      </c>
      <c r="H336">
        <v>4095</v>
      </c>
    </row>
    <row r="337" spans="1:8" x14ac:dyDescent="0.3">
      <c r="A337" s="1">
        <v>44213</v>
      </c>
      <c r="B337" t="s">
        <v>16</v>
      </c>
      <c r="C337" t="s">
        <v>17</v>
      </c>
      <c r="D337" t="s">
        <v>10</v>
      </c>
      <c r="E337" t="s">
        <v>11</v>
      </c>
      <c r="F337">
        <v>33</v>
      </c>
      <c r="G337">
        <v>315</v>
      </c>
      <c r="H337">
        <v>10395</v>
      </c>
    </row>
    <row r="338" spans="1:8" x14ac:dyDescent="0.3">
      <c r="A338" s="1">
        <v>44278</v>
      </c>
      <c r="B338" t="s">
        <v>35</v>
      </c>
      <c r="C338" t="s">
        <v>13</v>
      </c>
      <c r="D338" t="s">
        <v>18</v>
      </c>
      <c r="E338" t="s">
        <v>11</v>
      </c>
      <c r="F338">
        <v>33</v>
      </c>
      <c r="G338">
        <v>1575</v>
      </c>
      <c r="H338">
        <v>51975</v>
      </c>
    </row>
    <row r="339" spans="1:8" x14ac:dyDescent="0.3">
      <c r="A339" s="1">
        <v>44345</v>
      </c>
      <c r="B339" t="s">
        <v>12</v>
      </c>
      <c r="C339" t="s">
        <v>13</v>
      </c>
      <c r="D339" t="s">
        <v>34</v>
      </c>
      <c r="E339" t="s">
        <v>27</v>
      </c>
      <c r="F339">
        <v>31</v>
      </c>
      <c r="G339">
        <v>790</v>
      </c>
      <c r="H339">
        <v>24490</v>
      </c>
    </row>
    <row r="340" spans="1:8" x14ac:dyDescent="0.3">
      <c r="A340" s="1">
        <v>44319</v>
      </c>
      <c r="B340" t="s">
        <v>8</v>
      </c>
      <c r="C340" t="s">
        <v>9</v>
      </c>
      <c r="D340" t="s">
        <v>30</v>
      </c>
      <c r="E340" t="s">
        <v>15</v>
      </c>
      <c r="F340">
        <v>30</v>
      </c>
      <c r="G340">
        <v>2001</v>
      </c>
      <c r="H340">
        <v>60030</v>
      </c>
    </row>
    <row r="341" spans="1:8" x14ac:dyDescent="0.3">
      <c r="A341" s="1">
        <v>44315</v>
      </c>
      <c r="B341" t="s">
        <v>35</v>
      </c>
      <c r="C341" t="s">
        <v>13</v>
      </c>
      <c r="D341" t="s">
        <v>30</v>
      </c>
      <c r="E341" t="s">
        <v>27</v>
      </c>
      <c r="F341">
        <v>7</v>
      </c>
      <c r="G341">
        <v>1575</v>
      </c>
      <c r="H341">
        <v>11025</v>
      </c>
    </row>
    <row r="342" spans="1:8" x14ac:dyDescent="0.3">
      <c r="A342" s="1">
        <v>44521</v>
      </c>
      <c r="B342" t="s">
        <v>33</v>
      </c>
      <c r="C342" t="s">
        <v>17</v>
      </c>
      <c r="D342" t="s">
        <v>14</v>
      </c>
      <c r="E342" t="s">
        <v>26</v>
      </c>
      <c r="F342">
        <v>10</v>
      </c>
      <c r="G342">
        <v>350</v>
      </c>
      <c r="H342">
        <v>3500</v>
      </c>
    </row>
    <row r="343" spans="1:8" x14ac:dyDescent="0.3">
      <c r="A343" s="1">
        <v>44241</v>
      </c>
      <c r="B343" t="s">
        <v>22</v>
      </c>
      <c r="C343" t="s">
        <v>9</v>
      </c>
      <c r="D343" t="s">
        <v>21</v>
      </c>
      <c r="E343" t="s">
        <v>31</v>
      </c>
      <c r="F343">
        <v>40</v>
      </c>
      <c r="G343">
        <v>1080</v>
      </c>
      <c r="H343">
        <v>43200</v>
      </c>
    </row>
    <row r="344" spans="1:8" x14ac:dyDescent="0.3">
      <c r="A344" s="1">
        <v>44437</v>
      </c>
      <c r="B344" t="s">
        <v>25</v>
      </c>
      <c r="C344" t="s">
        <v>9</v>
      </c>
      <c r="D344" t="s">
        <v>38</v>
      </c>
      <c r="E344" t="s">
        <v>23</v>
      </c>
      <c r="F344">
        <v>28</v>
      </c>
      <c r="G344">
        <v>1500</v>
      </c>
      <c r="H344">
        <v>42000</v>
      </c>
    </row>
    <row r="345" spans="1:8" x14ac:dyDescent="0.3">
      <c r="A345" s="1">
        <v>44257</v>
      </c>
      <c r="B345" t="s">
        <v>8</v>
      </c>
      <c r="C345" t="s">
        <v>9</v>
      </c>
      <c r="D345" t="s">
        <v>32</v>
      </c>
      <c r="E345" t="s">
        <v>29</v>
      </c>
      <c r="F345">
        <v>22</v>
      </c>
      <c r="G345">
        <v>2001</v>
      </c>
      <c r="H345">
        <v>44022</v>
      </c>
    </row>
    <row r="346" spans="1:8" x14ac:dyDescent="0.3">
      <c r="A346" s="1">
        <v>44524</v>
      </c>
      <c r="B346" t="s">
        <v>22</v>
      </c>
      <c r="C346" t="s">
        <v>9</v>
      </c>
      <c r="D346" t="s">
        <v>14</v>
      </c>
      <c r="E346" t="s">
        <v>37</v>
      </c>
      <c r="F346">
        <v>26</v>
      </c>
      <c r="G346">
        <v>1080</v>
      </c>
      <c r="H346">
        <v>28080</v>
      </c>
    </row>
    <row r="347" spans="1:8" x14ac:dyDescent="0.3">
      <c r="A347" s="1">
        <v>44469</v>
      </c>
      <c r="B347" t="s">
        <v>22</v>
      </c>
      <c r="C347" t="s">
        <v>9</v>
      </c>
      <c r="D347" t="s">
        <v>34</v>
      </c>
      <c r="E347" t="s">
        <v>19</v>
      </c>
      <c r="F347">
        <v>43</v>
      </c>
      <c r="G347">
        <v>1080</v>
      </c>
      <c r="H347">
        <v>46440</v>
      </c>
    </row>
    <row r="348" spans="1:8" x14ac:dyDescent="0.3">
      <c r="A348" s="1">
        <v>44243</v>
      </c>
      <c r="B348" t="s">
        <v>8</v>
      </c>
      <c r="C348" t="s">
        <v>9</v>
      </c>
      <c r="D348" t="s">
        <v>10</v>
      </c>
      <c r="E348" t="s">
        <v>37</v>
      </c>
      <c r="F348">
        <v>38</v>
      </c>
      <c r="G348">
        <v>2001</v>
      </c>
      <c r="H348">
        <v>76038</v>
      </c>
    </row>
    <row r="349" spans="1:8" x14ac:dyDescent="0.3">
      <c r="A349" s="1">
        <v>44456</v>
      </c>
      <c r="B349" t="s">
        <v>16</v>
      </c>
      <c r="C349" t="s">
        <v>17</v>
      </c>
      <c r="D349" t="s">
        <v>38</v>
      </c>
      <c r="E349" t="s">
        <v>19</v>
      </c>
      <c r="F349">
        <v>34</v>
      </c>
      <c r="G349">
        <v>315</v>
      </c>
      <c r="H349">
        <v>10710</v>
      </c>
    </row>
    <row r="350" spans="1:8" x14ac:dyDescent="0.3">
      <c r="A350" s="1">
        <v>44469</v>
      </c>
      <c r="B350" t="s">
        <v>22</v>
      </c>
      <c r="C350" t="s">
        <v>9</v>
      </c>
      <c r="D350" t="s">
        <v>18</v>
      </c>
      <c r="E350" t="s">
        <v>31</v>
      </c>
      <c r="F350">
        <v>6</v>
      </c>
      <c r="G350">
        <v>1080</v>
      </c>
      <c r="H350">
        <v>6480</v>
      </c>
    </row>
    <row r="351" spans="1:8" x14ac:dyDescent="0.3">
      <c r="A351" s="1">
        <v>44279</v>
      </c>
      <c r="B351" t="s">
        <v>22</v>
      </c>
      <c r="C351" t="s">
        <v>9</v>
      </c>
      <c r="D351" t="s">
        <v>30</v>
      </c>
      <c r="E351" t="s">
        <v>31</v>
      </c>
      <c r="F351">
        <v>2</v>
      </c>
      <c r="G351">
        <v>1080</v>
      </c>
      <c r="H351">
        <v>2160</v>
      </c>
    </row>
    <row r="352" spans="1:8" x14ac:dyDescent="0.3">
      <c r="A352" s="1">
        <v>44230</v>
      </c>
      <c r="B352" t="s">
        <v>33</v>
      </c>
      <c r="C352" t="s">
        <v>17</v>
      </c>
      <c r="D352" t="s">
        <v>28</v>
      </c>
      <c r="E352" t="s">
        <v>31</v>
      </c>
      <c r="F352">
        <v>47</v>
      </c>
      <c r="G352">
        <v>350</v>
      </c>
      <c r="H352">
        <v>16450</v>
      </c>
    </row>
    <row r="353" spans="1:8" x14ac:dyDescent="0.3">
      <c r="A353" s="1">
        <v>44543</v>
      </c>
      <c r="B353" t="s">
        <v>25</v>
      </c>
      <c r="C353" t="s">
        <v>9</v>
      </c>
      <c r="D353" t="s">
        <v>30</v>
      </c>
      <c r="E353" t="s">
        <v>29</v>
      </c>
      <c r="F353">
        <v>20</v>
      </c>
      <c r="G353">
        <v>1500</v>
      </c>
      <c r="H353">
        <v>30000</v>
      </c>
    </row>
    <row r="354" spans="1:8" x14ac:dyDescent="0.3">
      <c r="A354" s="1">
        <v>44468</v>
      </c>
      <c r="B354" t="s">
        <v>12</v>
      </c>
      <c r="C354" t="s">
        <v>13</v>
      </c>
      <c r="D354" t="s">
        <v>38</v>
      </c>
      <c r="E354" t="s">
        <v>11</v>
      </c>
      <c r="F354">
        <v>35</v>
      </c>
      <c r="G354">
        <v>790</v>
      </c>
      <c r="H354">
        <v>27650</v>
      </c>
    </row>
    <row r="355" spans="1:8" x14ac:dyDescent="0.3">
      <c r="A355" s="1">
        <v>44352</v>
      </c>
      <c r="B355" t="s">
        <v>16</v>
      </c>
      <c r="C355" t="s">
        <v>17</v>
      </c>
      <c r="D355" t="s">
        <v>38</v>
      </c>
      <c r="E355" t="s">
        <v>26</v>
      </c>
      <c r="F355">
        <v>25</v>
      </c>
      <c r="G355">
        <v>315</v>
      </c>
      <c r="H355">
        <v>7875</v>
      </c>
    </row>
    <row r="356" spans="1:8" x14ac:dyDescent="0.3">
      <c r="A356" s="1">
        <v>44449</v>
      </c>
      <c r="B356" t="s">
        <v>36</v>
      </c>
      <c r="C356" t="s">
        <v>13</v>
      </c>
      <c r="D356" t="s">
        <v>28</v>
      </c>
      <c r="E356" t="s">
        <v>31</v>
      </c>
      <c r="F356">
        <v>12</v>
      </c>
      <c r="G356">
        <v>950</v>
      </c>
      <c r="H356">
        <v>11400</v>
      </c>
    </row>
    <row r="357" spans="1:8" x14ac:dyDescent="0.3">
      <c r="A357" s="1">
        <v>44284</v>
      </c>
      <c r="B357" t="s">
        <v>36</v>
      </c>
      <c r="C357" t="s">
        <v>13</v>
      </c>
      <c r="D357" t="s">
        <v>14</v>
      </c>
      <c r="E357" t="s">
        <v>11</v>
      </c>
      <c r="F357">
        <v>34</v>
      </c>
      <c r="G357">
        <v>950</v>
      </c>
      <c r="H357">
        <v>32300</v>
      </c>
    </row>
    <row r="358" spans="1:8" x14ac:dyDescent="0.3">
      <c r="A358" s="1">
        <v>44498</v>
      </c>
      <c r="B358" t="s">
        <v>22</v>
      </c>
      <c r="C358" t="s">
        <v>9</v>
      </c>
      <c r="D358" t="s">
        <v>30</v>
      </c>
      <c r="E358" t="s">
        <v>31</v>
      </c>
      <c r="F358">
        <v>31</v>
      </c>
      <c r="G358">
        <v>1080</v>
      </c>
      <c r="H358">
        <v>33480</v>
      </c>
    </row>
    <row r="359" spans="1:8" x14ac:dyDescent="0.3">
      <c r="A359" s="1">
        <v>44467</v>
      </c>
      <c r="B359" t="s">
        <v>33</v>
      </c>
      <c r="C359" t="s">
        <v>17</v>
      </c>
      <c r="D359" t="s">
        <v>30</v>
      </c>
      <c r="E359" t="s">
        <v>27</v>
      </c>
      <c r="F359">
        <v>42</v>
      </c>
      <c r="G359">
        <v>350</v>
      </c>
      <c r="H359">
        <v>14700</v>
      </c>
    </row>
    <row r="360" spans="1:8" x14ac:dyDescent="0.3">
      <c r="A360" s="1">
        <v>44308</v>
      </c>
      <c r="B360" t="s">
        <v>36</v>
      </c>
      <c r="C360" t="s">
        <v>13</v>
      </c>
      <c r="D360" t="s">
        <v>14</v>
      </c>
      <c r="E360" t="s">
        <v>19</v>
      </c>
      <c r="F360">
        <v>49</v>
      </c>
      <c r="G360">
        <v>950</v>
      </c>
      <c r="H360">
        <v>46550</v>
      </c>
    </row>
    <row r="361" spans="1:8" x14ac:dyDescent="0.3">
      <c r="A361" s="1">
        <v>44420</v>
      </c>
      <c r="B361" t="s">
        <v>12</v>
      </c>
      <c r="C361" t="s">
        <v>13</v>
      </c>
      <c r="D361" t="s">
        <v>32</v>
      </c>
      <c r="E361" t="s">
        <v>27</v>
      </c>
      <c r="F361">
        <v>4</v>
      </c>
      <c r="G361">
        <v>790</v>
      </c>
      <c r="H361">
        <v>3160</v>
      </c>
    </row>
    <row r="362" spans="1:8" x14ac:dyDescent="0.3">
      <c r="A362" s="1">
        <v>44364</v>
      </c>
      <c r="B362" t="s">
        <v>36</v>
      </c>
      <c r="C362" t="s">
        <v>13</v>
      </c>
      <c r="D362" t="s">
        <v>28</v>
      </c>
      <c r="E362" t="s">
        <v>29</v>
      </c>
      <c r="F362">
        <v>11</v>
      </c>
      <c r="G362">
        <v>950</v>
      </c>
      <c r="H362">
        <v>10450</v>
      </c>
    </row>
    <row r="363" spans="1:8" x14ac:dyDescent="0.3">
      <c r="A363" s="1">
        <v>44348</v>
      </c>
      <c r="B363" t="s">
        <v>12</v>
      </c>
      <c r="C363" t="s">
        <v>13</v>
      </c>
      <c r="D363" t="s">
        <v>10</v>
      </c>
      <c r="E363" t="s">
        <v>23</v>
      </c>
      <c r="F363">
        <v>47</v>
      </c>
      <c r="G363">
        <v>790</v>
      </c>
      <c r="H363">
        <v>37130</v>
      </c>
    </row>
    <row r="364" spans="1:8" x14ac:dyDescent="0.3">
      <c r="A364" s="1">
        <v>44473</v>
      </c>
      <c r="B364" t="s">
        <v>8</v>
      </c>
      <c r="C364" t="s">
        <v>9</v>
      </c>
      <c r="D364" t="s">
        <v>28</v>
      </c>
      <c r="E364" t="s">
        <v>29</v>
      </c>
      <c r="F364">
        <v>39</v>
      </c>
      <c r="G364">
        <v>2001</v>
      </c>
      <c r="H364">
        <v>78039</v>
      </c>
    </row>
    <row r="365" spans="1:8" x14ac:dyDescent="0.3">
      <c r="A365" s="1">
        <v>44531</v>
      </c>
      <c r="B365" t="s">
        <v>25</v>
      </c>
      <c r="C365" t="s">
        <v>9</v>
      </c>
      <c r="D365" t="s">
        <v>38</v>
      </c>
      <c r="E365" t="s">
        <v>29</v>
      </c>
      <c r="F365">
        <v>9</v>
      </c>
      <c r="G365">
        <v>1500</v>
      </c>
      <c r="H365">
        <v>13500</v>
      </c>
    </row>
    <row r="366" spans="1:8" x14ac:dyDescent="0.3">
      <c r="A366" s="1">
        <v>44282</v>
      </c>
      <c r="B366" t="s">
        <v>36</v>
      </c>
      <c r="C366" t="s">
        <v>13</v>
      </c>
      <c r="D366" t="s">
        <v>34</v>
      </c>
      <c r="E366" t="s">
        <v>15</v>
      </c>
      <c r="F366">
        <v>41</v>
      </c>
      <c r="G366">
        <v>950</v>
      </c>
      <c r="H366">
        <v>38950</v>
      </c>
    </row>
    <row r="367" spans="1:8" x14ac:dyDescent="0.3">
      <c r="A367" s="1">
        <v>44348</v>
      </c>
      <c r="B367" t="s">
        <v>22</v>
      </c>
      <c r="C367" t="s">
        <v>9</v>
      </c>
      <c r="D367" t="s">
        <v>38</v>
      </c>
      <c r="E367" t="s">
        <v>19</v>
      </c>
      <c r="F367">
        <v>4</v>
      </c>
      <c r="G367">
        <v>1080</v>
      </c>
      <c r="H367">
        <v>4320</v>
      </c>
    </row>
    <row r="368" spans="1:8" x14ac:dyDescent="0.3">
      <c r="A368" s="1">
        <v>44529</v>
      </c>
      <c r="B368" t="s">
        <v>8</v>
      </c>
      <c r="C368" t="s">
        <v>9</v>
      </c>
      <c r="D368" t="s">
        <v>32</v>
      </c>
      <c r="E368" t="s">
        <v>37</v>
      </c>
      <c r="F368">
        <v>34</v>
      </c>
      <c r="G368">
        <v>2001</v>
      </c>
      <c r="H368">
        <v>68034</v>
      </c>
    </row>
    <row r="369" spans="1:8" x14ac:dyDescent="0.3">
      <c r="A369" s="1">
        <v>44452</v>
      </c>
      <c r="B369" t="s">
        <v>8</v>
      </c>
      <c r="C369" t="s">
        <v>9</v>
      </c>
      <c r="D369" t="s">
        <v>14</v>
      </c>
      <c r="E369" t="s">
        <v>11</v>
      </c>
      <c r="F369">
        <v>26</v>
      </c>
      <c r="G369">
        <v>2001</v>
      </c>
      <c r="H369">
        <v>52026</v>
      </c>
    </row>
    <row r="370" spans="1:8" x14ac:dyDescent="0.3">
      <c r="A370" s="1">
        <v>44435</v>
      </c>
      <c r="B370" t="s">
        <v>36</v>
      </c>
      <c r="C370" t="s">
        <v>13</v>
      </c>
      <c r="D370" t="s">
        <v>10</v>
      </c>
      <c r="E370" t="s">
        <v>26</v>
      </c>
      <c r="F370">
        <v>25</v>
      </c>
      <c r="G370">
        <v>950</v>
      </c>
      <c r="H370">
        <v>23750</v>
      </c>
    </row>
    <row r="371" spans="1:8" x14ac:dyDescent="0.3">
      <c r="A371" s="1">
        <v>44221</v>
      </c>
      <c r="B371" t="s">
        <v>20</v>
      </c>
      <c r="C371" t="s">
        <v>17</v>
      </c>
      <c r="D371" t="s">
        <v>38</v>
      </c>
      <c r="E371" t="s">
        <v>15</v>
      </c>
      <c r="F371">
        <v>46</v>
      </c>
      <c r="G371">
        <v>75</v>
      </c>
      <c r="H371">
        <v>3450</v>
      </c>
    </row>
    <row r="372" spans="1:8" x14ac:dyDescent="0.3">
      <c r="A372" s="1">
        <v>44209</v>
      </c>
      <c r="B372" t="s">
        <v>33</v>
      </c>
      <c r="C372" t="s">
        <v>17</v>
      </c>
      <c r="D372" t="s">
        <v>10</v>
      </c>
      <c r="E372" t="s">
        <v>11</v>
      </c>
      <c r="F372">
        <v>26</v>
      </c>
      <c r="G372">
        <v>350</v>
      </c>
      <c r="H372">
        <v>9100</v>
      </c>
    </row>
    <row r="373" spans="1:8" x14ac:dyDescent="0.3">
      <c r="A373" s="1">
        <v>44253</v>
      </c>
      <c r="B373" t="s">
        <v>25</v>
      </c>
      <c r="C373" t="s">
        <v>9</v>
      </c>
      <c r="D373" t="s">
        <v>32</v>
      </c>
      <c r="E373" t="s">
        <v>37</v>
      </c>
      <c r="F373">
        <v>43</v>
      </c>
      <c r="G373">
        <v>1500</v>
      </c>
      <c r="H373">
        <v>64500</v>
      </c>
    </row>
    <row r="374" spans="1:8" x14ac:dyDescent="0.3">
      <c r="A374" s="1">
        <v>44411</v>
      </c>
      <c r="B374" t="s">
        <v>12</v>
      </c>
      <c r="C374" t="s">
        <v>13</v>
      </c>
      <c r="D374" t="s">
        <v>14</v>
      </c>
      <c r="E374" t="s">
        <v>23</v>
      </c>
      <c r="F374">
        <v>21</v>
      </c>
      <c r="G374">
        <v>790</v>
      </c>
      <c r="H374">
        <v>16590</v>
      </c>
    </row>
    <row r="375" spans="1:8" x14ac:dyDescent="0.3">
      <c r="A375" s="1">
        <v>44543</v>
      </c>
      <c r="B375" t="s">
        <v>20</v>
      </c>
      <c r="C375" t="s">
        <v>17</v>
      </c>
      <c r="D375" t="s">
        <v>39</v>
      </c>
      <c r="E375" t="s">
        <v>26</v>
      </c>
      <c r="F375">
        <v>8</v>
      </c>
      <c r="G375">
        <v>75</v>
      </c>
      <c r="H375">
        <v>600</v>
      </c>
    </row>
    <row r="376" spans="1:8" x14ac:dyDescent="0.3">
      <c r="A376" s="1">
        <v>44264</v>
      </c>
      <c r="B376" t="s">
        <v>25</v>
      </c>
      <c r="C376" t="s">
        <v>9</v>
      </c>
      <c r="D376" t="s">
        <v>34</v>
      </c>
      <c r="E376" t="s">
        <v>23</v>
      </c>
      <c r="F376">
        <v>28</v>
      </c>
      <c r="G376">
        <v>1500</v>
      </c>
      <c r="H376">
        <v>42000</v>
      </c>
    </row>
    <row r="377" spans="1:8" x14ac:dyDescent="0.3">
      <c r="A377" s="1">
        <v>44507</v>
      </c>
      <c r="B377" t="s">
        <v>33</v>
      </c>
      <c r="C377" t="s">
        <v>17</v>
      </c>
      <c r="D377" t="s">
        <v>14</v>
      </c>
      <c r="E377" t="s">
        <v>37</v>
      </c>
      <c r="F377">
        <v>14</v>
      </c>
      <c r="G377">
        <v>350</v>
      </c>
      <c r="H377">
        <v>4900</v>
      </c>
    </row>
    <row r="378" spans="1:8" x14ac:dyDescent="0.3">
      <c r="A378" s="1">
        <v>44441</v>
      </c>
      <c r="B378" t="s">
        <v>35</v>
      </c>
      <c r="C378" t="s">
        <v>13</v>
      </c>
      <c r="D378" t="s">
        <v>34</v>
      </c>
      <c r="E378" t="s">
        <v>26</v>
      </c>
      <c r="F378">
        <v>18</v>
      </c>
      <c r="G378">
        <v>1575</v>
      </c>
      <c r="H378">
        <v>28350</v>
      </c>
    </row>
    <row r="379" spans="1:8" x14ac:dyDescent="0.3">
      <c r="A379" s="1">
        <v>44290</v>
      </c>
      <c r="B379" t="s">
        <v>33</v>
      </c>
      <c r="C379" t="s">
        <v>17</v>
      </c>
      <c r="D379" t="s">
        <v>38</v>
      </c>
      <c r="E379" t="s">
        <v>29</v>
      </c>
      <c r="F379">
        <v>16</v>
      </c>
      <c r="G379">
        <v>350</v>
      </c>
      <c r="H379">
        <v>5600</v>
      </c>
    </row>
    <row r="380" spans="1:8" x14ac:dyDescent="0.3">
      <c r="A380" s="1">
        <v>44348</v>
      </c>
      <c r="B380" t="s">
        <v>20</v>
      </c>
      <c r="C380" t="s">
        <v>17</v>
      </c>
      <c r="D380" t="s">
        <v>21</v>
      </c>
      <c r="E380" t="s">
        <v>19</v>
      </c>
      <c r="F380">
        <v>12</v>
      </c>
      <c r="G380">
        <v>75</v>
      </c>
      <c r="H380">
        <v>900</v>
      </c>
    </row>
    <row r="381" spans="1:8" x14ac:dyDescent="0.3">
      <c r="A381" s="1">
        <v>44435</v>
      </c>
      <c r="B381" t="s">
        <v>16</v>
      </c>
      <c r="C381" t="s">
        <v>17</v>
      </c>
      <c r="D381" t="s">
        <v>34</v>
      </c>
      <c r="E381" t="s">
        <v>26</v>
      </c>
      <c r="F381">
        <v>5</v>
      </c>
      <c r="G381">
        <v>315</v>
      </c>
      <c r="H381">
        <v>1575</v>
      </c>
    </row>
    <row r="382" spans="1:8" x14ac:dyDescent="0.3">
      <c r="A382" s="1">
        <v>44273</v>
      </c>
      <c r="B382" t="s">
        <v>12</v>
      </c>
      <c r="C382" t="s">
        <v>13</v>
      </c>
      <c r="D382" t="s">
        <v>38</v>
      </c>
      <c r="E382" t="s">
        <v>31</v>
      </c>
      <c r="F382">
        <v>40</v>
      </c>
      <c r="G382">
        <v>790</v>
      </c>
      <c r="H382">
        <v>31600</v>
      </c>
    </row>
    <row r="383" spans="1:8" x14ac:dyDescent="0.3">
      <c r="A383" s="1">
        <v>44230</v>
      </c>
      <c r="B383" t="s">
        <v>12</v>
      </c>
      <c r="C383" t="s">
        <v>13</v>
      </c>
      <c r="D383" t="s">
        <v>21</v>
      </c>
      <c r="E383" t="s">
        <v>27</v>
      </c>
      <c r="F383">
        <v>13</v>
      </c>
      <c r="G383">
        <v>790</v>
      </c>
      <c r="H383">
        <v>10270</v>
      </c>
    </row>
    <row r="384" spans="1:8" x14ac:dyDescent="0.3">
      <c r="A384" s="1">
        <v>44355</v>
      </c>
      <c r="B384" t="s">
        <v>16</v>
      </c>
      <c r="C384" t="s">
        <v>17</v>
      </c>
      <c r="D384" t="s">
        <v>10</v>
      </c>
      <c r="E384" t="s">
        <v>29</v>
      </c>
      <c r="F384">
        <v>35</v>
      </c>
      <c r="G384">
        <v>315</v>
      </c>
      <c r="H384">
        <v>11025</v>
      </c>
    </row>
    <row r="385" spans="1:8" x14ac:dyDescent="0.3">
      <c r="A385" s="1">
        <v>44210</v>
      </c>
      <c r="B385" t="s">
        <v>8</v>
      </c>
      <c r="C385" t="s">
        <v>9</v>
      </c>
      <c r="D385" t="s">
        <v>28</v>
      </c>
      <c r="E385" t="s">
        <v>24</v>
      </c>
      <c r="F385">
        <v>43</v>
      </c>
      <c r="G385">
        <v>2001</v>
      </c>
      <c r="H385">
        <v>86043</v>
      </c>
    </row>
    <row r="386" spans="1:8" x14ac:dyDescent="0.3">
      <c r="A386" s="1">
        <v>44476</v>
      </c>
      <c r="B386" t="s">
        <v>22</v>
      </c>
      <c r="C386" t="s">
        <v>9</v>
      </c>
      <c r="D386" t="s">
        <v>21</v>
      </c>
      <c r="E386" t="s">
        <v>19</v>
      </c>
      <c r="F386">
        <v>29</v>
      </c>
      <c r="G386">
        <v>1080</v>
      </c>
      <c r="H386">
        <v>31320</v>
      </c>
    </row>
    <row r="387" spans="1:8" x14ac:dyDescent="0.3">
      <c r="A387" s="1">
        <v>44559</v>
      </c>
      <c r="B387" t="s">
        <v>35</v>
      </c>
      <c r="C387" t="s">
        <v>13</v>
      </c>
      <c r="D387" t="s">
        <v>28</v>
      </c>
      <c r="E387" t="s">
        <v>24</v>
      </c>
      <c r="F387">
        <v>39</v>
      </c>
      <c r="G387">
        <v>1575</v>
      </c>
      <c r="H387">
        <v>61425</v>
      </c>
    </row>
    <row r="388" spans="1:8" x14ac:dyDescent="0.3">
      <c r="A388" s="1">
        <v>44388</v>
      </c>
      <c r="B388" t="s">
        <v>8</v>
      </c>
      <c r="C388" t="s">
        <v>9</v>
      </c>
      <c r="D388" t="s">
        <v>30</v>
      </c>
      <c r="E388" t="s">
        <v>23</v>
      </c>
      <c r="F388">
        <v>37</v>
      </c>
      <c r="G388">
        <v>2001</v>
      </c>
      <c r="H388">
        <v>74037</v>
      </c>
    </row>
    <row r="389" spans="1:8" x14ac:dyDescent="0.3">
      <c r="A389" s="1">
        <v>44346</v>
      </c>
      <c r="B389" t="s">
        <v>36</v>
      </c>
      <c r="C389" t="s">
        <v>13</v>
      </c>
      <c r="D389" t="s">
        <v>30</v>
      </c>
      <c r="E389" t="s">
        <v>27</v>
      </c>
      <c r="F389">
        <v>46</v>
      </c>
      <c r="G389">
        <v>950</v>
      </c>
      <c r="H389">
        <v>43700</v>
      </c>
    </row>
    <row r="390" spans="1:8" x14ac:dyDescent="0.3">
      <c r="A390" s="1">
        <v>44257</v>
      </c>
      <c r="B390" t="s">
        <v>33</v>
      </c>
      <c r="C390" t="s">
        <v>17</v>
      </c>
      <c r="D390" t="s">
        <v>38</v>
      </c>
      <c r="E390" t="s">
        <v>27</v>
      </c>
      <c r="F390">
        <v>28</v>
      </c>
      <c r="G390">
        <v>350</v>
      </c>
      <c r="H390">
        <v>9800</v>
      </c>
    </row>
    <row r="391" spans="1:8" x14ac:dyDescent="0.3">
      <c r="A391" s="1">
        <v>44464</v>
      </c>
      <c r="B391" t="s">
        <v>25</v>
      </c>
      <c r="C391" t="s">
        <v>9</v>
      </c>
      <c r="D391" t="s">
        <v>14</v>
      </c>
      <c r="E391" t="s">
        <v>31</v>
      </c>
      <c r="F391">
        <v>32</v>
      </c>
      <c r="G391">
        <v>1500</v>
      </c>
      <c r="H391">
        <v>48000</v>
      </c>
    </row>
    <row r="392" spans="1:8" x14ac:dyDescent="0.3">
      <c r="A392" s="1">
        <v>44506</v>
      </c>
      <c r="B392" t="s">
        <v>25</v>
      </c>
      <c r="C392" t="s">
        <v>9</v>
      </c>
      <c r="D392" t="s">
        <v>32</v>
      </c>
      <c r="E392" t="s">
        <v>19</v>
      </c>
      <c r="F392">
        <v>17</v>
      </c>
      <c r="G392">
        <v>1500</v>
      </c>
      <c r="H392">
        <v>25500</v>
      </c>
    </row>
    <row r="393" spans="1:8" x14ac:dyDescent="0.3">
      <c r="A393" s="1">
        <v>44531</v>
      </c>
      <c r="B393" t="s">
        <v>36</v>
      </c>
      <c r="C393" t="s">
        <v>13</v>
      </c>
      <c r="D393" t="s">
        <v>28</v>
      </c>
      <c r="E393" t="s">
        <v>15</v>
      </c>
      <c r="F393">
        <v>16</v>
      </c>
      <c r="G393">
        <v>950</v>
      </c>
      <c r="H393">
        <v>15200</v>
      </c>
    </row>
    <row r="394" spans="1:8" x14ac:dyDescent="0.3">
      <c r="A394" s="1">
        <v>44512</v>
      </c>
      <c r="B394" t="s">
        <v>12</v>
      </c>
      <c r="C394" t="s">
        <v>13</v>
      </c>
      <c r="D394" t="s">
        <v>14</v>
      </c>
      <c r="E394" t="s">
        <v>15</v>
      </c>
      <c r="F394">
        <v>21</v>
      </c>
      <c r="G394">
        <v>790</v>
      </c>
      <c r="H394">
        <v>16590</v>
      </c>
    </row>
    <row r="395" spans="1:8" x14ac:dyDescent="0.3">
      <c r="A395" s="1">
        <v>44245</v>
      </c>
      <c r="B395" t="s">
        <v>8</v>
      </c>
      <c r="C395" t="s">
        <v>9</v>
      </c>
      <c r="D395" t="s">
        <v>21</v>
      </c>
      <c r="E395" t="s">
        <v>29</v>
      </c>
      <c r="F395">
        <v>38</v>
      </c>
      <c r="G395">
        <v>2001</v>
      </c>
      <c r="H395">
        <v>76038</v>
      </c>
    </row>
    <row r="396" spans="1:8" x14ac:dyDescent="0.3">
      <c r="A396" s="1">
        <v>44539</v>
      </c>
      <c r="B396" t="s">
        <v>35</v>
      </c>
      <c r="C396" t="s">
        <v>13</v>
      </c>
      <c r="D396" t="s">
        <v>28</v>
      </c>
      <c r="E396" t="s">
        <v>27</v>
      </c>
      <c r="F396">
        <v>39</v>
      </c>
      <c r="G396">
        <v>1575</v>
      </c>
      <c r="H396">
        <v>61425</v>
      </c>
    </row>
    <row r="397" spans="1:8" x14ac:dyDescent="0.3">
      <c r="A397" s="1">
        <v>44414</v>
      </c>
      <c r="B397" t="s">
        <v>22</v>
      </c>
      <c r="C397" t="s">
        <v>9</v>
      </c>
      <c r="D397" t="s">
        <v>39</v>
      </c>
      <c r="E397" t="s">
        <v>19</v>
      </c>
      <c r="F397">
        <v>38</v>
      </c>
      <c r="G397">
        <v>1080</v>
      </c>
      <c r="H397">
        <v>41040</v>
      </c>
    </row>
    <row r="398" spans="1:8" x14ac:dyDescent="0.3">
      <c r="A398" s="1">
        <v>44225</v>
      </c>
      <c r="B398" t="s">
        <v>25</v>
      </c>
      <c r="C398" t="s">
        <v>9</v>
      </c>
      <c r="D398" t="s">
        <v>18</v>
      </c>
      <c r="E398" t="s">
        <v>23</v>
      </c>
      <c r="F398">
        <v>26</v>
      </c>
      <c r="G398">
        <v>1500</v>
      </c>
      <c r="H398">
        <v>39000</v>
      </c>
    </row>
    <row r="399" spans="1:8" x14ac:dyDescent="0.3">
      <c r="A399" s="1">
        <v>44504</v>
      </c>
      <c r="B399" t="s">
        <v>20</v>
      </c>
      <c r="C399" t="s">
        <v>17</v>
      </c>
      <c r="D399" t="s">
        <v>32</v>
      </c>
      <c r="E399" t="s">
        <v>24</v>
      </c>
      <c r="F399">
        <v>23</v>
      </c>
      <c r="G399">
        <v>75</v>
      </c>
      <c r="H399">
        <v>1725</v>
      </c>
    </row>
    <row r="400" spans="1:8" x14ac:dyDescent="0.3">
      <c r="A400" s="1">
        <v>44252</v>
      </c>
      <c r="B400" t="s">
        <v>35</v>
      </c>
      <c r="C400" t="s">
        <v>13</v>
      </c>
      <c r="D400" t="s">
        <v>32</v>
      </c>
      <c r="E400" t="s">
        <v>37</v>
      </c>
      <c r="F400">
        <v>25</v>
      </c>
      <c r="G400">
        <v>1575</v>
      </c>
      <c r="H400">
        <v>39375</v>
      </c>
    </row>
    <row r="401" spans="1:8" x14ac:dyDescent="0.3">
      <c r="A401" s="1">
        <v>44409</v>
      </c>
      <c r="B401" t="s">
        <v>12</v>
      </c>
      <c r="C401" t="s">
        <v>13</v>
      </c>
      <c r="D401" t="s">
        <v>18</v>
      </c>
      <c r="E401" t="s">
        <v>29</v>
      </c>
      <c r="F401">
        <v>50</v>
      </c>
      <c r="G401">
        <v>790</v>
      </c>
      <c r="H401">
        <v>39500</v>
      </c>
    </row>
    <row r="402" spans="1:8" x14ac:dyDescent="0.3">
      <c r="A402" s="1">
        <v>44507</v>
      </c>
      <c r="B402" t="s">
        <v>20</v>
      </c>
      <c r="C402" t="s">
        <v>17</v>
      </c>
      <c r="D402" t="s">
        <v>14</v>
      </c>
      <c r="E402" t="s">
        <v>11</v>
      </c>
      <c r="F402">
        <v>46</v>
      </c>
      <c r="G402">
        <v>75</v>
      </c>
      <c r="H402">
        <v>3450</v>
      </c>
    </row>
    <row r="403" spans="1:8" x14ac:dyDescent="0.3">
      <c r="A403" s="1">
        <v>44505</v>
      </c>
      <c r="B403" t="s">
        <v>12</v>
      </c>
      <c r="C403" t="s">
        <v>13</v>
      </c>
      <c r="D403" t="s">
        <v>10</v>
      </c>
      <c r="E403" t="s">
        <v>27</v>
      </c>
      <c r="F403">
        <v>40</v>
      </c>
      <c r="G403">
        <v>790</v>
      </c>
      <c r="H403">
        <v>31600</v>
      </c>
    </row>
    <row r="404" spans="1:8" x14ac:dyDescent="0.3">
      <c r="A404" s="1">
        <v>44355</v>
      </c>
      <c r="B404" t="s">
        <v>36</v>
      </c>
      <c r="C404" t="s">
        <v>13</v>
      </c>
      <c r="D404" t="s">
        <v>14</v>
      </c>
      <c r="E404" t="s">
        <v>29</v>
      </c>
      <c r="F404">
        <v>18</v>
      </c>
      <c r="G404">
        <v>950</v>
      </c>
      <c r="H404">
        <v>17100</v>
      </c>
    </row>
    <row r="405" spans="1:8" x14ac:dyDescent="0.3">
      <c r="A405" s="1">
        <v>44343</v>
      </c>
      <c r="B405" t="s">
        <v>36</v>
      </c>
      <c r="C405" t="s">
        <v>13</v>
      </c>
      <c r="D405" t="s">
        <v>30</v>
      </c>
      <c r="E405" t="s">
        <v>24</v>
      </c>
      <c r="F405">
        <v>33</v>
      </c>
      <c r="G405">
        <v>950</v>
      </c>
      <c r="H405">
        <v>31350</v>
      </c>
    </row>
    <row r="406" spans="1:8" x14ac:dyDescent="0.3">
      <c r="A406" s="1">
        <v>44346</v>
      </c>
      <c r="B406" t="s">
        <v>25</v>
      </c>
      <c r="C406" t="s">
        <v>9</v>
      </c>
      <c r="D406" t="s">
        <v>18</v>
      </c>
      <c r="E406" t="s">
        <v>23</v>
      </c>
      <c r="F406">
        <v>43</v>
      </c>
      <c r="G406">
        <v>1500</v>
      </c>
      <c r="H406">
        <v>64500</v>
      </c>
    </row>
    <row r="407" spans="1:8" x14ac:dyDescent="0.3">
      <c r="A407" s="1">
        <v>44210</v>
      </c>
      <c r="B407" t="s">
        <v>25</v>
      </c>
      <c r="C407" t="s">
        <v>9</v>
      </c>
      <c r="D407" t="s">
        <v>39</v>
      </c>
      <c r="E407" t="s">
        <v>15</v>
      </c>
      <c r="F407">
        <v>34</v>
      </c>
      <c r="G407">
        <v>1500</v>
      </c>
      <c r="H407">
        <v>51000</v>
      </c>
    </row>
    <row r="408" spans="1:8" x14ac:dyDescent="0.3">
      <c r="A408" s="1">
        <v>44253</v>
      </c>
      <c r="B408" t="s">
        <v>20</v>
      </c>
      <c r="C408" t="s">
        <v>17</v>
      </c>
      <c r="D408" t="s">
        <v>30</v>
      </c>
      <c r="E408" t="s">
        <v>15</v>
      </c>
      <c r="F408">
        <v>4</v>
      </c>
      <c r="G408">
        <v>75</v>
      </c>
      <c r="H408">
        <v>300</v>
      </c>
    </row>
    <row r="409" spans="1:8" x14ac:dyDescent="0.3">
      <c r="A409" s="1">
        <v>44496</v>
      </c>
      <c r="B409" t="s">
        <v>35</v>
      </c>
      <c r="C409" t="s">
        <v>13</v>
      </c>
      <c r="D409" t="s">
        <v>28</v>
      </c>
      <c r="E409" t="s">
        <v>24</v>
      </c>
      <c r="F409">
        <v>44</v>
      </c>
      <c r="G409">
        <v>1575</v>
      </c>
      <c r="H409">
        <v>69300</v>
      </c>
    </row>
    <row r="410" spans="1:8" x14ac:dyDescent="0.3">
      <c r="A410" s="1">
        <v>44235</v>
      </c>
      <c r="B410" t="s">
        <v>22</v>
      </c>
      <c r="C410" t="s">
        <v>9</v>
      </c>
      <c r="D410" t="s">
        <v>10</v>
      </c>
      <c r="E410" t="s">
        <v>37</v>
      </c>
      <c r="F410">
        <v>16</v>
      </c>
      <c r="G410">
        <v>1080</v>
      </c>
      <c r="H410">
        <v>17280</v>
      </c>
    </row>
    <row r="411" spans="1:8" x14ac:dyDescent="0.3">
      <c r="A411" s="1">
        <v>44217</v>
      </c>
      <c r="B411" t="s">
        <v>35</v>
      </c>
      <c r="C411" t="s">
        <v>13</v>
      </c>
      <c r="D411" t="s">
        <v>38</v>
      </c>
      <c r="E411" t="s">
        <v>37</v>
      </c>
      <c r="F411">
        <v>43</v>
      </c>
      <c r="G411">
        <v>1575</v>
      </c>
      <c r="H411">
        <v>67725</v>
      </c>
    </row>
    <row r="412" spans="1:8" x14ac:dyDescent="0.3">
      <c r="A412" s="1">
        <v>44424</v>
      </c>
      <c r="B412" t="s">
        <v>20</v>
      </c>
      <c r="C412" t="s">
        <v>17</v>
      </c>
      <c r="D412" t="s">
        <v>38</v>
      </c>
      <c r="E412" t="s">
        <v>31</v>
      </c>
      <c r="F412">
        <v>41</v>
      </c>
      <c r="G412">
        <v>75</v>
      </c>
      <c r="H412">
        <v>3075</v>
      </c>
    </row>
    <row r="413" spans="1:8" x14ac:dyDescent="0.3">
      <c r="A413" s="1">
        <v>44225</v>
      </c>
      <c r="B413" t="s">
        <v>33</v>
      </c>
      <c r="C413" t="s">
        <v>17</v>
      </c>
      <c r="D413" t="s">
        <v>21</v>
      </c>
      <c r="E413" t="s">
        <v>31</v>
      </c>
      <c r="F413">
        <v>18</v>
      </c>
      <c r="G413">
        <v>350</v>
      </c>
      <c r="H413">
        <v>6300</v>
      </c>
    </row>
    <row r="414" spans="1:8" x14ac:dyDescent="0.3">
      <c r="A414" s="1">
        <v>44400</v>
      </c>
      <c r="B414" t="s">
        <v>8</v>
      </c>
      <c r="C414" t="s">
        <v>9</v>
      </c>
      <c r="D414" t="s">
        <v>34</v>
      </c>
      <c r="E414" t="s">
        <v>23</v>
      </c>
      <c r="F414">
        <v>36</v>
      </c>
      <c r="G414">
        <v>2001</v>
      </c>
      <c r="H414">
        <v>72036</v>
      </c>
    </row>
    <row r="415" spans="1:8" x14ac:dyDescent="0.3">
      <c r="A415" s="1">
        <v>44330</v>
      </c>
      <c r="B415" t="s">
        <v>22</v>
      </c>
      <c r="C415" t="s">
        <v>9</v>
      </c>
      <c r="D415" t="s">
        <v>28</v>
      </c>
      <c r="E415" t="s">
        <v>23</v>
      </c>
      <c r="F415">
        <v>17</v>
      </c>
      <c r="G415">
        <v>1080</v>
      </c>
      <c r="H415">
        <v>18360</v>
      </c>
    </row>
    <row r="416" spans="1:8" x14ac:dyDescent="0.3">
      <c r="A416" s="1">
        <v>44456</v>
      </c>
      <c r="B416" t="s">
        <v>22</v>
      </c>
      <c r="C416" t="s">
        <v>9</v>
      </c>
      <c r="D416" t="s">
        <v>34</v>
      </c>
      <c r="E416" t="s">
        <v>37</v>
      </c>
      <c r="F416">
        <v>46</v>
      </c>
      <c r="G416">
        <v>1080</v>
      </c>
      <c r="H416">
        <v>49680</v>
      </c>
    </row>
    <row r="417" spans="1:8" x14ac:dyDescent="0.3">
      <c r="A417" s="1">
        <v>44358</v>
      </c>
      <c r="B417" t="s">
        <v>20</v>
      </c>
      <c r="C417" t="s">
        <v>17</v>
      </c>
      <c r="D417" t="s">
        <v>18</v>
      </c>
      <c r="E417" t="s">
        <v>26</v>
      </c>
      <c r="F417">
        <v>49</v>
      </c>
      <c r="G417">
        <v>75</v>
      </c>
      <c r="H417">
        <v>3675</v>
      </c>
    </row>
    <row r="418" spans="1:8" x14ac:dyDescent="0.3">
      <c r="A418" s="1">
        <v>44543</v>
      </c>
      <c r="B418" t="s">
        <v>12</v>
      </c>
      <c r="C418" t="s">
        <v>13</v>
      </c>
      <c r="D418" t="s">
        <v>18</v>
      </c>
      <c r="E418" t="s">
        <v>26</v>
      </c>
      <c r="F418">
        <v>18</v>
      </c>
      <c r="G418">
        <v>790</v>
      </c>
      <c r="H418">
        <v>14220</v>
      </c>
    </row>
    <row r="419" spans="1:8" x14ac:dyDescent="0.3">
      <c r="A419" s="1">
        <v>44341</v>
      </c>
      <c r="B419" t="s">
        <v>33</v>
      </c>
      <c r="C419" t="s">
        <v>17</v>
      </c>
      <c r="D419" t="s">
        <v>18</v>
      </c>
      <c r="E419" t="s">
        <v>11</v>
      </c>
      <c r="F419">
        <v>30</v>
      </c>
      <c r="G419">
        <v>350</v>
      </c>
      <c r="H419">
        <v>10500</v>
      </c>
    </row>
    <row r="420" spans="1:8" x14ac:dyDescent="0.3">
      <c r="A420" s="1">
        <v>44306</v>
      </c>
      <c r="B420" t="s">
        <v>25</v>
      </c>
      <c r="C420" t="s">
        <v>9</v>
      </c>
      <c r="D420" t="s">
        <v>38</v>
      </c>
      <c r="E420" t="s">
        <v>37</v>
      </c>
      <c r="F420">
        <v>7</v>
      </c>
      <c r="G420">
        <v>1500</v>
      </c>
      <c r="H420">
        <v>10500</v>
      </c>
    </row>
    <row r="421" spans="1:8" x14ac:dyDescent="0.3">
      <c r="A421" s="1">
        <v>44418</v>
      </c>
      <c r="B421" t="s">
        <v>33</v>
      </c>
      <c r="C421" t="s">
        <v>17</v>
      </c>
      <c r="D421" t="s">
        <v>18</v>
      </c>
      <c r="E421" t="s">
        <v>37</v>
      </c>
      <c r="F421">
        <v>14</v>
      </c>
      <c r="G421">
        <v>350</v>
      </c>
      <c r="H421">
        <v>4900</v>
      </c>
    </row>
    <row r="422" spans="1:8" x14ac:dyDescent="0.3">
      <c r="A422" s="1">
        <v>44240</v>
      </c>
      <c r="B422" t="s">
        <v>33</v>
      </c>
      <c r="C422" t="s">
        <v>17</v>
      </c>
      <c r="D422" t="s">
        <v>14</v>
      </c>
      <c r="E422" t="s">
        <v>31</v>
      </c>
      <c r="F422">
        <v>15</v>
      </c>
      <c r="G422">
        <v>350</v>
      </c>
      <c r="H422">
        <v>5250</v>
      </c>
    </row>
    <row r="423" spans="1:8" x14ac:dyDescent="0.3">
      <c r="A423" s="1">
        <v>44294</v>
      </c>
      <c r="B423" t="s">
        <v>22</v>
      </c>
      <c r="C423" t="s">
        <v>9</v>
      </c>
      <c r="D423" t="s">
        <v>21</v>
      </c>
      <c r="E423" t="s">
        <v>19</v>
      </c>
      <c r="F423">
        <v>37</v>
      </c>
      <c r="G423">
        <v>1080</v>
      </c>
      <c r="H423">
        <v>39960</v>
      </c>
    </row>
    <row r="424" spans="1:8" x14ac:dyDescent="0.3">
      <c r="A424" s="1">
        <v>44426</v>
      </c>
      <c r="B424" t="s">
        <v>12</v>
      </c>
      <c r="C424" t="s">
        <v>13</v>
      </c>
      <c r="D424" t="s">
        <v>30</v>
      </c>
      <c r="E424" t="s">
        <v>15</v>
      </c>
      <c r="F424">
        <v>2</v>
      </c>
      <c r="G424">
        <v>790</v>
      </c>
      <c r="H424">
        <v>1580</v>
      </c>
    </row>
    <row r="425" spans="1:8" x14ac:dyDescent="0.3">
      <c r="A425" s="1">
        <v>44488</v>
      </c>
      <c r="B425" t="s">
        <v>16</v>
      </c>
      <c r="C425" t="s">
        <v>17</v>
      </c>
      <c r="D425" t="s">
        <v>38</v>
      </c>
      <c r="E425" t="s">
        <v>11</v>
      </c>
      <c r="F425">
        <v>23</v>
      </c>
      <c r="G425">
        <v>315</v>
      </c>
      <c r="H425">
        <v>7245</v>
      </c>
    </row>
    <row r="426" spans="1:8" x14ac:dyDescent="0.3">
      <c r="A426" s="1">
        <v>44388</v>
      </c>
      <c r="B426" t="s">
        <v>35</v>
      </c>
      <c r="C426" t="s">
        <v>13</v>
      </c>
      <c r="D426" t="s">
        <v>21</v>
      </c>
      <c r="E426" t="s">
        <v>19</v>
      </c>
      <c r="F426">
        <v>8</v>
      </c>
      <c r="G426">
        <v>1575</v>
      </c>
      <c r="H426">
        <v>12600</v>
      </c>
    </row>
    <row r="427" spans="1:8" x14ac:dyDescent="0.3">
      <c r="A427" s="1">
        <v>44451</v>
      </c>
      <c r="B427" t="s">
        <v>33</v>
      </c>
      <c r="C427" t="s">
        <v>17</v>
      </c>
      <c r="D427" t="s">
        <v>21</v>
      </c>
      <c r="E427" t="s">
        <v>26</v>
      </c>
      <c r="F427">
        <v>28</v>
      </c>
      <c r="G427">
        <v>350</v>
      </c>
      <c r="H427">
        <v>9800</v>
      </c>
    </row>
    <row r="428" spans="1:8" x14ac:dyDescent="0.3">
      <c r="A428" s="1">
        <v>44494</v>
      </c>
      <c r="B428" t="s">
        <v>33</v>
      </c>
      <c r="C428" t="s">
        <v>17</v>
      </c>
      <c r="D428" t="s">
        <v>39</v>
      </c>
      <c r="E428" t="s">
        <v>11</v>
      </c>
      <c r="F428">
        <v>38</v>
      </c>
      <c r="G428">
        <v>350</v>
      </c>
      <c r="H428">
        <v>13300</v>
      </c>
    </row>
    <row r="429" spans="1:8" x14ac:dyDescent="0.3">
      <c r="A429" s="1">
        <v>44551</v>
      </c>
      <c r="B429" t="s">
        <v>35</v>
      </c>
      <c r="C429" t="s">
        <v>13</v>
      </c>
      <c r="D429" t="s">
        <v>38</v>
      </c>
      <c r="E429" t="s">
        <v>15</v>
      </c>
      <c r="F429">
        <v>3</v>
      </c>
      <c r="G429">
        <v>1575</v>
      </c>
      <c r="H429">
        <v>4725</v>
      </c>
    </row>
    <row r="430" spans="1:8" x14ac:dyDescent="0.3">
      <c r="A430" s="1">
        <v>44512</v>
      </c>
      <c r="B430" t="s">
        <v>33</v>
      </c>
      <c r="C430" t="s">
        <v>17</v>
      </c>
      <c r="D430" t="s">
        <v>10</v>
      </c>
      <c r="E430" t="s">
        <v>19</v>
      </c>
      <c r="F430">
        <v>18</v>
      </c>
      <c r="G430">
        <v>350</v>
      </c>
      <c r="H430">
        <v>6300</v>
      </c>
    </row>
    <row r="431" spans="1:8" x14ac:dyDescent="0.3">
      <c r="A431" s="1">
        <v>44307</v>
      </c>
      <c r="B431" t="s">
        <v>20</v>
      </c>
      <c r="C431" t="s">
        <v>17</v>
      </c>
      <c r="D431" t="s">
        <v>38</v>
      </c>
      <c r="E431" t="s">
        <v>37</v>
      </c>
      <c r="F431">
        <v>23</v>
      </c>
      <c r="G431">
        <v>75</v>
      </c>
      <c r="H431">
        <v>1725</v>
      </c>
    </row>
    <row r="432" spans="1:8" x14ac:dyDescent="0.3">
      <c r="A432" s="1">
        <v>44368</v>
      </c>
      <c r="B432" t="s">
        <v>25</v>
      </c>
      <c r="C432" t="s">
        <v>9</v>
      </c>
      <c r="D432" t="s">
        <v>10</v>
      </c>
      <c r="E432" t="s">
        <v>19</v>
      </c>
      <c r="F432">
        <v>35</v>
      </c>
      <c r="G432">
        <v>1500</v>
      </c>
      <c r="H432">
        <v>52500</v>
      </c>
    </row>
    <row r="433" spans="1:8" x14ac:dyDescent="0.3">
      <c r="A433" s="1">
        <v>44464</v>
      </c>
      <c r="B433" t="s">
        <v>33</v>
      </c>
      <c r="C433" t="s">
        <v>17</v>
      </c>
      <c r="D433" t="s">
        <v>32</v>
      </c>
      <c r="E433" t="s">
        <v>15</v>
      </c>
      <c r="F433">
        <v>32</v>
      </c>
      <c r="G433">
        <v>350</v>
      </c>
      <c r="H433">
        <v>11200</v>
      </c>
    </row>
    <row r="434" spans="1:8" x14ac:dyDescent="0.3">
      <c r="A434" s="1">
        <v>44461</v>
      </c>
      <c r="B434" t="s">
        <v>16</v>
      </c>
      <c r="C434" t="s">
        <v>17</v>
      </c>
      <c r="D434" t="s">
        <v>39</v>
      </c>
      <c r="E434" t="s">
        <v>11</v>
      </c>
      <c r="F434">
        <v>7</v>
      </c>
      <c r="G434">
        <v>315</v>
      </c>
      <c r="H434">
        <v>2205</v>
      </c>
    </row>
    <row r="435" spans="1:8" x14ac:dyDescent="0.3">
      <c r="A435" s="1">
        <v>44531</v>
      </c>
      <c r="B435" t="s">
        <v>16</v>
      </c>
      <c r="C435" t="s">
        <v>17</v>
      </c>
      <c r="D435" t="s">
        <v>39</v>
      </c>
      <c r="E435" t="s">
        <v>19</v>
      </c>
      <c r="F435">
        <v>50</v>
      </c>
      <c r="G435">
        <v>315</v>
      </c>
      <c r="H435">
        <v>15750</v>
      </c>
    </row>
    <row r="436" spans="1:8" x14ac:dyDescent="0.3">
      <c r="A436" s="1">
        <v>44512</v>
      </c>
      <c r="B436" t="s">
        <v>20</v>
      </c>
      <c r="C436" t="s">
        <v>17</v>
      </c>
      <c r="D436" t="s">
        <v>18</v>
      </c>
      <c r="E436" t="s">
        <v>15</v>
      </c>
      <c r="F436">
        <v>20</v>
      </c>
      <c r="G436">
        <v>75</v>
      </c>
      <c r="H436">
        <v>1500</v>
      </c>
    </row>
    <row r="437" spans="1:8" x14ac:dyDescent="0.3">
      <c r="A437" s="1">
        <v>44268</v>
      </c>
      <c r="B437" t="s">
        <v>8</v>
      </c>
      <c r="C437" t="s">
        <v>9</v>
      </c>
      <c r="D437" t="s">
        <v>30</v>
      </c>
      <c r="E437" t="s">
        <v>27</v>
      </c>
      <c r="F437">
        <v>26</v>
      </c>
      <c r="G437">
        <v>2001</v>
      </c>
      <c r="H437">
        <v>52026</v>
      </c>
    </row>
    <row r="438" spans="1:8" x14ac:dyDescent="0.3">
      <c r="A438" s="1">
        <v>44223</v>
      </c>
      <c r="B438" t="s">
        <v>20</v>
      </c>
      <c r="C438" t="s">
        <v>17</v>
      </c>
      <c r="D438" t="s">
        <v>21</v>
      </c>
      <c r="E438" t="s">
        <v>15</v>
      </c>
      <c r="F438">
        <v>47</v>
      </c>
      <c r="G438">
        <v>75</v>
      </c>
      <c r="H438">
        <v>3525</v>
      </c>
    </row>
    <row r="439" spans="1:8" x14ac:dyDescent="0.3">
      <c r="A439" s="1">
        <v>44472</v>
      </c>
      <c r="B439" t="s">
        <v>33</v>
      </c>
      <c r="C439" t="s">
        <v>17</v>
      </c>
      <c r="D439" t="s">
        <v>32</v>
      </c>
      <c r="E439" t="s">
        <v>11</v>
      </c>
      <c r="F439">
        <v>1</v>
      </c>
      <c r="G439">
        <v>350</v>
      </c>
      <c r="H439">
        <v>350</v>
      </c>
    </row>
    <row r="440" spans="1:8" x14ac:dyDescent="0.3">
      <c r="A440" s="1">
        <v>44270</v>
      </c>
      <c r="B440" t="s">
        <v>25</v>
      </c>
      <c r="C440" t="s">
        <v>9</v>
      </c>
      <c r="D440" t="s">
        <v>32</v>
      </c>
      <c r="E440" t="s">
        <v>15</v>
      </c>
      <c r="F440">
        <v>13</v>
      </c>
      <c r="G440">
        <v>1500</v>
      </c>
      <c r="H440">
        <v>19500</v>
      </c>
    </row>
    <row r="441" spans="1:8" x14ac:dyDescent="0.3">
      <c r="A441" s="1">
        <v>44313</v>
      </c>
      <c r="B441" t="s">
        <v>12</v>
      </c>
      <c r="C441" t="s">
        <v>13</v>
      </c>
      <c r="D441" t="s">
        <v>18</v>
      </c>
      <c r="E441" t="s">
        <v>37</v>
      </c>
      <c r="F441">
        <v>38</v>
      </c>
      <c r="G441">
        <v>790</v>
      </c>
      <c r="H441">
        <v>30020</v>
      </c>
    </row>
    <row r="442" spans="1:8" x14ac:dyDescent="0.3">
      <c r="A442" s="1">
        <v>44336</v>
      </c>
      <c r="B442" t="s">
        <v>33</v>
      </c>
      <c r="C442" t="s">
        <v>17</v>
      </c>
      <c r="D442" t="s">
        <v>38</v>
      </c>
      <c r="E442" t="s">
        <v>26</v>
      </c>
      <c r="F442">
        <v>11</v>
      </c>
      <c r="G442">
        <v>350</v>
      </c>
      <c r="H442">
        <v>3850</v>
      </c>
    </row>
    <row r="443" spans="1:8" x14ac:dyDescent="0.3">
      <c r="A443" s="1">
        <v>44500</v>
      </c>
      <c r="B443" t="s">
        <v>8</v>
      </c>
      <c r="C443" t="s">
        <v>9</v>
      </c>
      <c r="D443" t="s">
        <v>32</v>
      </c>
      <c r="E443" t="s">
        <v>15</v>
      </c>
      <c r="F443">
        <v>25</v>
      </c>
      <c r="G443">
        <v>2001</v>
      </c>
      <c r="H443">
        <v>50025</v>
      </c>
    </row>
    <row r="444" spans="1:8" x14ac:dyDescent="0.3">
      <c r="A444" s="1">
        <v>44241</v>
      </c>
      <c r="B444" t="s">
        <v>25</v>
      </c>
      <c r="C444" t="s">
        <v>9</v>
      </c>
      <c r="D444" t="s">
        <v>39</v>
      </c>
      <c r="E444" t="s">
        <v>29</v>
      </c>
      <c r="F444">
        <v>4</v>
      </c>
      <c r="G444">
        <v>1500</v>
      </c>
      <c r="H444">
        <v>6000</v>
      </c>
    </row>
    <row r="445" spans="1:8" x14ac:dyDescent="0.3">
      <c r="A445" s="1">
        <v>44530</v>
      </c>
      <c r="B445" t="s">
        <v>35</v>
      </c>
      <c r="C445" t="s">
        <v>13</v>
      </c>
      <c r="D445" t="s">
        <v>32</v>
      </c>
      <c r="E445" t="s">
        <v>15</v>
      </c>
      <c r="F445">
        <v>43</v>
      </c>
      <c r="G445">
        <v>1575</v>
      </c>
      <c r="H445">
        <v>67725</v>
      </c>
    </row>
    <row r="446" spans="1:8" x14ac:dyDescent="0.3">
      <c r="A446" s="1">
        <v>44387</v>
      </c>
      <c r="B446" t="s">
        <v>20</v>
      </c>
      <c r="C446" t="s">
        <v>17</v>
      </c>
      <c r="D446" t="s">
        <v>32</v>
      </c>
      <c r="E446" t="s">
        <v>31</v>
      </c>
      <c r="F446">
        <v>2</v>
      </c>
      <c r="G446">
        <v>75</v>
      </c>
      <c r="H446">
        <v>150</v>
      </c>
    </row>
    <row r="447" spans="1:8" x14ac:dyDescent="0.3">
      <c r="A447" s="1">
        <v>44372</v>
      </c>
      <c r="B447" t="s">
        <v>20</v>
      </c>
      <c r="C447" t="s">
        <v>17</v>
      </c>
      <c r="D447" t="s">
        <v>39</v>
      </c>
      <c r="E447" t="s">
        <v>15</v>
      </c>
      <c r="F447">
        <v>14</v>
      </c>
      <c r="G447">
        <v>75</v>
      </c>
      <c r="H447">
        <v>1050</v>
      </c>
    </row>
    <row r="448" spans="1:8" x14ac:dyDescent="0.3">
      <c r="A448" s="1">
        <v>44386</v>
      </c>
      <c r="B448" t="s">
        <v>16</v>
      </c>
      <c r="C448" t="s">
        <v>17</v>
      </c>
      <c r="D448" t="s">
        <v>32</v>
      </c>
      <c r="E448" t="s">
        <v>11</v>
      </c>
      <c r="F448">
        <v>28</v>
      </c>
      <c r="G448">
        <v>315</v>
      </c>
      <c r="H448">
        <v>8820</v>
      </c>
    </row>
    <row r="449" spans="1:8" x14ac:dyDescent="0.3">
      <c r="A449" s="1">
        <v>44208</v>
      </c>
      <c r="B449" t="s">
        <v>35</v>
      </c>
      <c r="C449" t="s">
        <v>13</v>
      </c>
      <c r="D449" t="s">
        <v>28</v>
      </c>
      <c r="E449" t="s">
        <v>29</v>
      </c>
      <c r="F449">
        <v>44</v>
      </c>
      <c r="G449">
        <v>1575</v>
      </c>
      <c r="H449">
        <v>69300</v>
      </c>
    </row>
    <row r="450" spans="1:8" x14ac:dyDescent="0.3">
      <c r="A450" s="1">
        <v>44414</v>
      </c>
      <c r="B450" t="s">
        <v>20</v>
      </c>
      <c r="C450" t="s">
        <v>17</v>
      </c>
      <c r="D450" t="s">
        <v>18</v>
      </c>
      <c r="E450" t="s">
        <v>31</v>
      </c>
      <c r="F450">
        <v>35</v>
      </c>
      <c r="G450">
        <v>75</v>
      </c>
      <c r="H450">
        <v>2625</v>
      </c>
    </row>
    <row r="451" spans="1:8" x14ac:dyDescent="0.3">
      <c r="A451" s="1">
        <v>44232</v>
      </c>
      <c r="B451" t="s">
        <v>20</v>
      </c>
      <c r="C451" t="s">
        <v>17</v>
      </c>
      <c r="D451" t="s">
        <v>39</v>
      </c>
      <c r="E451" t="s">
        <v>23</v>
      </c>
      <c r="F451">
        <v>21</v>
      </c>
      <c r="G451">
        <v>75</v>
      </c>
      <c r="H451">
        <v>1575</v>
      </c>
    </row>
    <row r="452" spans="1:8" x14ac:dyDescent="0.3">
      <c r="A452" s="1">
        <v>44200</v>
      </c>
      <c r="B452" t="s">
        <v>25</v>
      </c>
      <c r="C452" t="s">
        <v>9</v>
      </c>
      <c r="D452" t="s">
        <v>21</v>
      </c>
      <c r="E452" t="s">
        <v>15</v>
      </c>
      <c r="F452">
        <v>41</v>
      </c>
      <c r="G452">
        <v>1500</v>
      </c>
      <c r="H452">
        <v>61500</v>
      </c>
    </row>
    <row r="453" spans="1:8" x14ac:dyDescent="0.3">
      <c r="A453" s="1">
        <v>44428</v>
      </c>
      <c r="B453" t="s">
        <v>12</v>
      </c>
      <c r="C453" t="s">
        <v>13</v>
      </c>
      <c r="D453" t="s">
        <v>39</v>
      </c>
      <c r="E453" t="s">
        <v>37</v>
      </c>
      <c r="F453">
        <v>31</v>
      </c>
      <c r="G453">
        <v>790</v>
      </c>
      <c r="H453">
        <v>24490</v>
      </c>
    </row>
    <row r="454" spans="1:8" x14ac:dyDescent="0.3">
      <c r="A454" s="1">
        <v>44415</v>
      </c>
      <c r="B454" t="s">
        <v>20</v>
      </c>
      <c r="C454" t="s">
        <v>17</v>
      </c>
      <c r="D454" t="s">
        <v>18</v>
      </c>
      <c r="E454" t="s">
        <v>37</v>
      </c>
      <c r="F454">
        <v>31</v>
      </c>
      <c r="G454">
        <v>75</v>
      </c>
      <c r="H454">
        <v>2325</v>
      </c>
    </row>
    <row r="455" spans="1:8" x14ac:dyDescent="0.3">
      <c r="A455" s="1">
        <v>44302</v>
      </c>
      <c r="B455" t="s">
        <v>33</v>
      </c>
      <c r="C455" t="s">
        <v>17</v>
      </c>
      <c r="D455" t="s">
        <v>28</v>
      </c>
      <c r="E455" t="s">
        <v>23</v>
      </c>
      <c r="F455">
        <v>7</v>
      </c>
      <c r="G455">
        <v>350</v>
      </c>
      <c r="H455">
        <v>2450</v>
      </c>
    </row>
    <row r="456" spans="1:8" x14ac:dyDescent="0.3">
      <c r="A456" s="1">
        <v>44269</v>
      </c>
      <c r="B456" t="s">
        <v>16</v>
      </c>
      <c r="C456" t="s">
        <v>17</v>
      </c>
      <c r="D456" t="s">
        <v>38</v>
      </c>
      <c r="E456" t="s">
        <v>23</v>
      </c>
      <c r="F456">
        <v>13</v>
      </c>
      <c r="G456">
        <v>315</v>
      </c>
      <c r="H456">
        <v>4095</v>
      </c>
    </row>
    <row r="457" spans="1:8" x14ac:dyDescent="0.3">
      <c r="A457" s="1">
        <v>44517</v>
      </c>
      <c r="B457" t="s">
        <v>36</v>
      </c>
      <c r="C457" t="s">
        <v>13</v>
      </c>
      <c r="D457" t="s">
        <v>32</v>
      </c>
      <c r="E457" t="s">
        <v>23</v>
      </c>
      <c r="F457">
        <v>5</v>
      </c>
      <c r="G457">
        <v>950</v>
      </c>
      <c r="H457">
        <v>4750</v>
      </c>
    </row>
    <row r="458" spans="1:8" x14ac:dyDescent="0.3">
      <c r="A458" s="1">
        <v>44295</v>
      </c>
      <c r="B458" t="s">
        <v>25</v>
      </c>
      <c r="C458" t="s">
        <v>9</v>
      </c>
      <c r="D458" t="s">
        <v>18</v>
      </c>
      <c r="E458" t="s">
        <v>26</v>
      </c>
      <c r="F458">
        <v>46</v>
      </c>
      <c r="G458">
        <v>1500</v>
      </c>
      <c r="H458">
        <v>69000</v>
      </c>
    </row>
    <row r="459" spans="1:8" x14ac:dyDescent="0.3">
      <c r="A459" s="1">
        <v>44313</v>
      </c>
      <c r="B459" t="s">
        <v>16</v>
      </c>
      <c r="C459" t="s">
        <v>17</v>
      </c>
      <c r="D459" t="s">
        <v>18</v>
      </c>
      <c r="E459" t="s">
        <v>26</v>
      </c>
      <c r="F459">
        <v>18</v>
      </c>
      <c r="G459">
        <v>315</v>
      </c>
      <c r="H459">
        <v>5670</v>
      </c>
    </row>
    <row r="460" spans="1:8" x14ac:dyDescent="0.3">
      <c r="A460" s="1">
        <v>44285</v>
      </c>
      <c r="B460" t="s">
        <v>8</v>
      </c>
      <c r="C460" t="s">
        <v>9</v>
      </c>
      <c r="D460" t="s">
        <v>18</v>
      </c>
      <c r="E460" t="s">
        <v>19</v>
      </c>
      <c r="F460">
        <v>27</v>
      </c>
      <c r="G460">
        <v>2001</v>
      </c>
      <c r="H460">
        <v>54027</v>
      </c>
    </row>
    <row r="461" spans="1:8" x14ac:dyDescent="0.3">
      <c r="A461" s="1">
        <v>44331</v>
      </c>
      <c r="B461" t="s">
        <v>12</v>
      </c>
      <c r="C461" t="s">
        <v>13</v>
      </c>
      <c r="D461" t="s">
        <v>18</v>
      </c>
      <c r="E461" t="s">
        <v>29</v>
      </c>
      <c r="F461">
        <v>35</v>
      </c>
      <c r="G461">
        <v>790</v>
      </c>
      <c r="H461">
        <v>27650</v>
      </c>
    </row>
    <row r="462" spans="1:8" x14ac:dyDescent="0.3">
      <c r="A462" s="1">
        <v>44494</v>
      </c>
      <c r="B462" t="s">
        <v>8</v>
      </c>
      <c r="C462" t="s">
        <v>9</v>
      </c>
      <c r="D462" t="s">
        <v>38</v>
      </c>
      <c r="E462" t="s">
        <v>15</v>
      </c>
      <c r="F462">
        <v>3</v>
      </c>
      <c r="G462">
        <v>2001</v>
      </c>
      <c r="H462">
        <v>6003</v>
      </c>
    </row>
    <row r="463" spans="1:8" x14ac:dyDescent="0.3">
      <c r="A463" s="1">
        <v>44546</v>
      </c>
      <c r="B463" t="s">
        <v>16</v>
      </c>
      <c r="C463" t="s">
        <v>17</v>
      </c>
      <c r="D463" t="s">
        <v>14</v>
      </c>
      <c r="E463" t="s">
        <v>23</v>
      </c>
      <c r="F463">
        <v>1</v>
      </c>
      <c r="G463">
        <v>315</v>
      </c>
      <c r="H463">
        <v>315</v>
      </c>
    </row>
    <row r="464" spans="1:8" x14ac:dyDescent="0.3">
      <c r="A464" s="1">
        <v>44348</v>
      </c>
      <c r="B464" t="s">
        <v>36</v>
      </c>
      <c r="C464" t="s">
        <v>13</v>
      </c>
      <c r="D464" t="s">
        <v>28</v>
      </c>
      <c r="E464" t="s">
        <v>37</v>
      </c>
      <c r="F464">
        <v>40</v>
      </c>
      <c r="G464">
        <v>950</v>
      </c>
      <c r="H464">
        <v>38000</v>
      </c>
    </row>
    <row r="465" spans="1:8" x14ac:dyDescent="0.3">
      <c r="A465" s="1">
        <v>44333</v>
      </c>
      <c r="B465" t="s">
        <v>20</v>
      </c>
      <c r="C465" t="s">
        <v>17</v>
      </c>
      <c r="D465" t="s">
        <v>30</v>
      </c>
      <c r="E465" t="s">
        <v>19</v>
      </c>
      <c r="F465">
        <v>9</v>
      </c>
      <c r="G465">
        <v>75</v>
      </c>
      <c r="H465">
        <v>675</v>
      </c>
    </row>
    <row r="466" spans="1:8" x14ac:dyDescent="0.3">
      <c r="A466" s="1">
        <v>44559</v>
      </c>
      <c r="B466" t="s">
        <v>16</v>
      </c>
      <c r="C466" t="s">
        <v>17</v>
      </c>
      <c r="D466" t="s">
        <v>28</v>
      </c>
      <c r="E466" t="s">
        <v>23</v>
      </c>
      <c r="F466">
        <v>11</v>
      </c>
      <c r="G466">
        <v>315</v>
      </c>
      <c r="H466">
        <v>3465</v>
      </c>
    </row>
    <row r="467" spans="1:8" x14ac:dyDescent="0.3">
      <c r="A467" s="1">
        <v>44560</v>
      </c>
      <c r="B467" t="s">
        <v>25</v>
      </c>
      <c r="C467" t="s">
        <v>9</v>
      </c>
      <c r="D467" t="s">
        <v>18</v>
      </c>
      <c r="E467" t="s">
        <v>19</v>
      </c>
      <c r="F467">
        <v>21</v>
      </c>
      <c r="G467">
        <v>1500</v>
      </c>
      <c r="H467">
        <v>31500</v>
      </c>
    </row>
    <row r="468" spans="1:8" x14ac:dyDescent="0.3">
      <c r="A468" s="1">
        <v>44438</v>
      </c>
      <c r="B468" t="s">
        <v>16</v>
      </c>
      <c r="C468" t="s">
        <v>17</v>
      </c>
      <c r="D468" t="s">
        <v>32</v>
      </c>
      <c r="E468" t="s">
        <v>29</v>
      </c>
      <c r="F468">
        <v>27</v>
      </c>
      <c r="G468">
        <v>315</v>
      </c>
      <c r="H468">
        <v>8505</v>
      </c>
    </row>
    <row r="469" spans="1:8" x14ac:dyDescent="0.3">
      <c r="A469" s="1">
        <v>44209</v>
      </c>
      <c r="B469" t="s">
        <v>35</v>
      </c>
      <c r="C469" t="s">
        <v>13</v>
      </c>
      <c r="D469" t="s">
        <v>34</v>
      </c>
      <c r="E469" t="s">
        <v>24</v>
      </c>
      <c r="F469">
        <v>17</v>
      </c>
      <c r="G469">
        <v>1575</v>
      </c>
      <c r="H469">
        <v>26775</v>
      </c>
    </row>
    <row r="470" spans="1:8" x14ac:dyDescent="0.3">
      <c r="A470" s="1">
        <v>44259</v>
      </c>
      <c r="B470" t="s">
        <v>16</v>
      </c>
      <c r="C470" t="s">
        <v>17</v>
      </c>
      <c r="D470" t="s">
        <v>18</v>
      </c>
      <c r="E470" t="s">
        <v>24</v>
      </c>
      <c r="F470">
        <v>10</v>
      </c>
      <c r="G470">
        <v>315</v>
      </c>
      <c r="H470">
        <v>3150</v>
      </c>
    </row>
    <row r="471" spans="1:8" x14ac:dyDescent="0.3">
      <c r="A471" s="1">
        <v>44492</v>
      </c>
      <c r="B471" t="s">
        <v>16</v>
      </c>
      <c r="C471" t="s">
        <v>17</v>
      </c>
      <c r="D471" t="s">
        <v>14</v>
      </c>
      <c r="E471" t="s">
        <v>26</v>
      </c>
      <c r="F471">
        <v>15</v>
      </c>
      <c r="G471">
        <v>315</v>
      </c>
      <c r="H471">
        <v>4725</v>
      </c>
    </row>
    <row r="472" spans="1:8" x14ac:dyDescent="0.3">
      <c r="A472" s="1">
        <v>44348</v>
      </c>
      <c r="B472" t="s">
        <v>12</v>
      </c>
      <c r="C472" t="s">
        <v>13</v>
      </c>
      <c r="D472" t="s">
        <v>34</v>
      </c>
      <c r="E472" t="s">
        <v>37</v>
      </c>
      <c r="F472">
        <v>38</v>
      </c>
      <c r="G472">
        <v>790</v>
      </c>
      <c r="H472">
        <v>30020</v>
      </c>
    </row>
    <row r="473" spans="1:8" x14ac:dyDescent="0.3">
      <c r="A473" s="1">
        <v>44494</v>
      </c>
      <c r="B473" t="s">
        <v>16</v>
      </c>
      <c r="C473" t="s">
        <v>17</v>
      </c>
      <c r="D473" t="s">
        <v>30</v>
      </c>
      <c r="E473" t="s">
        <v>23</v>
      </c>
      <c r="F473">
        <v>27</v>
      </c>
      <c r="G473">
        <v>315</v>
      </c>
      <c r="H473">
        <v>8505</v>
      </c>
    </row>
    <row r="474" spans="1:8" x14ac:dyDescent="0.3">
      <c r="A474" s="1">
        <v>44356</v>
      </c>
      <c r="B474" t="s">
        <v>22</v>
      </c>
      <c r="C474" t="s">
        <v>9</v>
      </c>
      <c r="D474" t="s">
        <v>14</v>
      </c>
      <c r="E474" t="s">
        <v>37</v>
      </c>
      <c r="F474">
        <v>47</v>
      </c>
      <c r="G474">
        <v>1080</v>
      </c>
      <c r="H474">
        <v>50760</v>
      </c>
    </row>
    <row r="475" spans="1:8" x14ac:dyDescent="0.3">
      <c r="A475" s="1">
        <v>44485</v>
      </c>
      <c r="B475" t="s">
        <v>36</v>
      </c>
      <c r="C475" t="s">
        <v>13</v>
      </c>
      <c r="D475" t="s">
        <v>34</v>
      </c>
      <c r="E475" t="s">
        <v>26</v>
      </c>
      <c r="F475">
        <v>17</v>
      </c>
      <c r="G475">
        <v>950</v>
      </c>
      <c r="H475">
        <v>16150</v>
      </c>
    </row>
    <row r="476" spans="1:8" x14ac:dyDescent="0.3">
      <c r="A476" s="1">
        <v>44332</v>
      </c>
      <c r="B476" t="s">
        <v>16</v>
      </c>
      <c r="C476" t="s">
        <v>17</v>
      </c>
      <c r="D476" t="s">
        <v>38</v>
      </c>
      <c r="E476" t="s">
        <v>11</v>
      </c>
      <c r="F476">
        <v>36</v>
      </c>
      <c r="G476">
        <v>315</v>
      </c>
      <c r="H476">
        <v>11340</v>
      </c>
    </row>
    <row r="477" spans="1:8" x14ac:dyDescent="0.3">
      <c r="A477" s="1">
        <v>44343</v>
      </c>
      <c r="B477" t="s">
        <v>12</v>
      </c>
      <c r="C477" t="s">
        <v>13</v>
      </c>
      <c r="D477" t="s">
        <v>18</v>
      </c>
      <c r="E477" t="s">
        <v>27</v>
      </c>
      <c r="F477">
        <v>8</v>
      </c>
      <c r="G477">
        <v>790</v>
      </c>
      <c r="H477">
        <v>6320</v>
      </c>
    </row>
    <row r="478" spans="1:8" x14ac:dyDescent="0.3">
      <c r="A478" s="1">
        <v>44409</v>
      </c>
      <c r="B478" t="s">
        <v>16</v>
      </c>
      <c r="C478" t="s">
        <v>17</v>
      </c>
      <c r="D478" t="s">
        <v>34</v>
      </c>
      <c r="E478" t="s">
        <v>31</v>
      </c>
      <c r="F478">
        <v>37</v>
      </c>
      <c r="G478">
        <v>315</v>
      </c>
      <c r="H478">
        <v>11655</v>
      </c>
    </row>
    <row r="479" spans="1:8" x14ac:dyDescent="0.3">
      <c r="A479" s="1">
        <v>44484</v>
      </c>
      <c r="B479" t="s">
        <v>33</v>
      </c>
      <c r="C479" t="s">
        <v>17</v>
      </c>
      <c r="D479" t="s">
        <v>30</v>
      </c>
      <c r="E479" t="s">
        <v>26</v>
      </c>
      <c r="F479">
        <v>50</v>
      </c>
      <c r="G479">
        <v>350</v>
      </c>
      <c r="H479">
        <v>17500</v>
      </c>
    </row>
    <row r="480" spans="1:8" x14ac:dyDescent="0.3">
      <c r="A480" s="1">
        <v>44268</v>
      </c>
      <c r="B480" t="s">
        <v>8</v>
      </c>
      <c r="C480" t="s">
        <v>9</v>
      </c>
      <c r="D480" t="s">
        <v>28</v>
      </c>
      <c r="E480" t="s">
        <v>11</v>
      </c>
      <c r="F480">
        <v>1</v>
      </c>
      <c r="G480">
        <v>2001</v>
      </c>
      <c r="H480">
        <v>2001</v>
      </c>
    </row>
    <row r="481" spans="1:8" x14ac:dyDescent="0.3">
      <c r="A481" s="1">
        <v>44339</v>
      </c>
      <c r="B481" t="s">
        <v>33</v>
      </c>
      <c r="C481" t="s">
        <v>17</v>
      </c>
      <c r="D481" t="s">
        <v>30</v>
      </c>
      <c r="E481" t="s">
        <v>29</v>
      </c>
      <c r="F481">
        <v>40</v>
      </c>
      <c r="G481">
        <v>350</v>
      </c>
      <c r="H481">
        <v>14000</v>
      </c>
    </row>
    <row r="482" spans="1:8" x14ac:dyDescent="0.3">
      <c r="A482" s="1">
        <v>44497</v>
      </c>
      <c r="B482" t="s">
        <v>35</v>
      </c>
      <c r="C482" t="s">
        <v>13</v>
      </c>
      <c r="D482" t="s">
        <v>30</v>
      </c>
      <c r="E482" t="s">
        <v>23</v>
      </c>
      <c r="F482">
        <v>14</v>
      </c>
      <c r="G482">
        <v>1575</v>
      </c>
      <c r="H482">
        <v>22050</v>
      </c>
    </row>
    <row r="483" spans="1:8" x14ac:dyDescent="0.3">
      <c r="A483" s="1">
        <v>44330</v>
      </c>
      <c r="B483" t="s">
        <v>12</v>
      </c>
      <c r="C483" t="s">
        <v>13</v>
      </c>
      <c r="D483" t="s">
        <v>39</v>
      </c>
      <c r="E483" t="s">
        <v>29</v>
      </c>
      <c r="F483">
        <v>9</v>
      </c>
      <c r="G483">
        <v>790</v>
      </c>
      <c r="H483">
        <v>7110</v>
      </c>
    </row>
    <row r="484" spans="1:8" x14ac:dyDescent="0.3">
      <c r="A484" s="1">
        <v>44454</v>
      </c>
      <c r="B484" t="s">
        <v>12</v>
      </c>
      <c r="C484" t="s">
        <v>13</v>
      </c>
      <c r="D484" t="s">
        <v>18</v>
      </c>
      <c r="E484" t="s">
        <v>19</v>
      </c>
      <c r="F484">
        <v>13</v>
      </c>
      <c r="G484">
        <v>790</v>
      </c>
      <c r="H484">
        <v>10270</v>
      </c>
    </row>
    <row r="485" spans="1:8" x14ac:dyDescent="0.3">
      <c r="A485" s="1">
        <v>44272</v>
      </c>
      <c r="B485" t="s">
        <v>25</v>
      </c>
      <c r="C485" t="s">
        <v>9</v>
      </c>
      <c r="D485" t="s">
        <v>30</v>
      </c>
      <c r="E485" t="s">
        <v>29</v>
      </c>
      <c r="F485">
        <v>37</v>
      </c>
      <c r="G485">
        <v>1500</v>
      </c>
      <c r="H485">
        <v>55500</v>
      </c>
    </row>
    <row r="486" spans="1:8" x14ac:dyDescent="0.3">
      <c r="A486" s="1">
        <v>44214</v>
      </c>
      <c r="B486" t="s">
        <v>35</v>
      </c>
      <c r="C486" t="s">
        <v>13</v>
      </c>
      <c r="D486" t="s">
        <v>30</v>
      </c>
      <c r="E486" t="s">
        <v>23</v>
      </c>
      <c r="F486">
        <v>19</v>
      </c>
      <c r="G486">
        <v>1575</v>
      </c>
      <c r="H486">
        <v>29925</v>
      </c>
    </row>
    <row r="487" spans="1:8" x14ac:dyDescent="0.3">
      <c r="A487" s="1">
        <v>44213</v>
      </c>
      <c r="B487" t="s">
        <v>36</v>
      </c>
      <c r="C487" t="s">
        <v>13</v>
      </c>
      <c r="D487" t="s">
        <v>14</v>
      </c>
      <c r="E487" t="s">
        <v>27</v>
      </c>
      <c r="F487">
        <v>47</v>
      </c>
      <c r="G487">
        <v>950</v>
      </c>
      <c r="H487">
        <v>44650</v>
      </c>
    </row>
    <row r="488" spans="1:8" x14ac:dyDescent="0.3">
      <c r="A488" s="1">
        <v>44537</v>
      </c>
      <c r="B488" t="s">
        <v>25</v>
      </c>
      <c r="C488" t="s">
        <v>9</v>
      </c>
      <c r="D488" t="s">
        <v>39</v>
      </c>
      <c r="E488" t="s">
        <v>37</v>
      </c>
      <c r="F488">
        <v>26</v>
      </c>
      <c r="G488">
        <v>1500</v>
      </c>
      <c r="H488">
        <v>39000</v>
      </c>
    </row>
    <row r="489" spans="1:8" x14ac:dyDescent="0.3">
      <c r="A489" s="1">
        <v>44278</v>
      </c>
      <c r="B489" t="s">
        <v>20</v>
      </c>
      <c r="C489" t="s">
        <v>17</v>
      </c>
      <c r="D489" t="s">
        <v>32</v>
      </c>
      <c r="E489" t="s">
        <v>37</v>
      </c>
      <c r="F489">
        <v>38</v>
      </c>
      <c r="G489">
        <v>75</v>
      </c>
      <c r="H489">
        <v>2850</v>
      </c>
    </row>
    <row r="490" spans="1:8" x14ac:dyDescent="0.3">
      <c r="A490" s="1">
        <v>44541</v>
      </c>
      <c r="B490" t="s">
        <v>8</v>
      </c>
      <c r="C490" t="s">
        <v>9</v>
      </c>
      <c r="D490" t="s">
        <v>34</v>
      </c>
      <c r="E490" t="s">
        <v>24</v>
      </c>
      <c r="F490">
        <v>7</v>
      </c>
      <c r="G490">
        <v>2001</v>
      </c>
      <c r="H490">
        <v>14007</v>
      </c>
    </row>
    <row r="491" spans="1:8" x14ac:dyDescent="0.3">
      <c r="A491" s="1">
        <v>44301</v>
      </c>
      <c r="B491" t="s">
        <v>12</v>
      </c>
      <c r="C491" t="s">
        <v>13</v>
      </c>
      <c r="D491" t="s">
        <v>38</v>
      </c>
      <c r="E491" t="s">
        <v>27</v>
      </c>
      <c r="F491">
        <v>25</v>
      </c>
      <c r="G491">
        <v>790</v>
      </c>
      <c r="H491">
        <v>19750</v>
      </c>
    </row>
    <row r="492" spans="1:8" x14ac:dyDescent="0.3">
      <c r="A492" s="1">
        <v>44264</v>
      </c>
      <c r="B492" t="s">
        <v>12</v>
      </c>
      <c r="C492" t="s">
        <v>13</v>
      </c>
      <c r="D492" t="s">
        <v>30</v>
      </c>
      <c r="E492" t="s">
        <v>23</v>
      </c>
      <c r="F492">
        <v>28</v>
      </c>
      <c r="G492">
        <v>790</v>
      </c>
      <c r="H492">
        <v>22120</v>
      </c>
    </row>
    <row r="493" spans="1:8" x14ac:dyDescent="0.3">
      <c r="A493" s="1">
        <v>44325</v>
      </c>
      <c r="B493" t="s">
        <v>12</v>
      </c>
      <c r="C493" t="s">
        <v>13</v>
      </c>
      <c r="D493" t="s">
        <v>28</v>
      </c>
      <c r="E493" t="s">
        <v>15</v>
      </c>
      <c r="F493">
        <v>6</v>
      </c>
      <c r="G493">
        <v>790</v>
      </c>
      <c r="H493">
        <v>4740</v>
      </c>
    </row>
    <row r="494" spans="1:8" x14ac:dyDescent="0.3">
      <c r="A494" s="1">
        <v>44363</v>
      </c>
      <c r="B494" t="s">
        <v>36</v>
      </c>
      <c r="C494" t="s">
        <v>13</v>
      </c>
      <c r="D494" t="s">
        <v>14</v>
      </c>
      <c r="E494" t="s">
        <v>15</v>
      </c>
      <c r="F494">
        <v>15</v>
      </c>
      <c r="G494">
        <v>950</v>
      </c>
      <c r="H494">
        <v>14250</v>
      </c>
    </row>
    <row r="495" spans="1:8" x14ac:dyDescent="0.3">
      <c r="A495" s="1">
        <v>44536</v>
      </c>
      <c r="B495" t="s">
        <v>25</v>
      </c>
      <c r="C495" t="s">
        <v>9</v>
      </c>
      <c r="D495" t="s">
        <v>14</v>
      </c>
      <c r="E495" t="s">
        <v>15</v>
      </c>
      <c r="F495">
        <v>21</v>
      </c>
      <c r="G495">
        <v>1500</v>
      </c>
      <c r="H495">
        <v>31500</v>
      </c>
    </row>
    <row r="496" spans="1:8" x14ac:dyDescent="0.3">
      <c r="A496" s="1">
        <v>44397</v>
      </c>
      <c r="B496" t="s">
        <v>35</v>
      </c>
      <c r="C496" t="s">
        <v>13</v>
      </c>
      <c r="D496" t="s">
        <v>34</v>
      </c>
      <c r="E496" t="s">
        <v>19</v>
      </c>
      <c r="F496">
        <v>11</v>
      </c>
      <c r="G496">
        <v>1575</v>
      </c>
      <c r="H496">
        <v>17325</v>
      </c>
    </row>
    <row r="497" spans="1:8" x14ac:dyDescent="0.3">
      <c r="A497" s="1">
        <v>44213</v>
      </c>
      <c r="B497" t="s">
        <v>12</v>
      </c>
      <c r="C497" t="s">
        <v>13</v>
      </c>
      <c r="D497" t="s">
        <v>14</v>
      </c>
      <c r="E497" t="s">
        <v>27</v>
      </c>
      <c r="F497">
        <v>37</v>
      </c>
      <c r="G497">
        <v>790</v>
      </c>
      <c r="H497">
        <v>29230</v>
      </c>
    </row>
    <row r="498" spans="1:8" x14ac:dyDescent="0.3">
      <c r="A498" s="1">
        <v>44347</v>
      </c>
      <c r="B498" t="s">
        <v>20</v>
      </c>
      <c r="C498" t="s">
        <v>17</v>
      </c>
      <c r="D498" t="s">
        <v>32</v>
      </c>
      <c r="E498" t="s">
        <v>31</v>
      </c>
      <c r="F498">
        <v>13</v>
      </c>
      <c r="G498">
        <v>75</v>
      </c>
      <c r="H498">
        <v>975</v>
      </c>
    </row>
    <row r="499" spans="1:8" x14ac:dyDescent="0.3">
      <c r="A499" s="1">
        <v>44268</v>
      </c>
      <c r="B499" t="s">
        <v>12</v>
      </c>
      <c r="C499" t="s">
        <v>13</v>
      </c>
      <c r="D499" t="s">
        <v>32</v>
      </c>
      <c r="E499" t="s">
        <v>27</v>
      </c>
      <c r="F499">
        <v>47</v>
      </c>
      <c r="G499">
        <v>790</v>
      </c>
      <c r="H499">
        <v>37130</v>
      </c>
    </row>
    <row r="500" spans="1:8" x14ac:dyDescent="0.3">
      <c r="A500" s="1">
        <v>44503</v>
      </c>
      <c r="B500" t="s">
        <v>33</v>
      </c>
      <c r="C500" t="s">
        <v>17</v>
      </c>
      <c r="D500" t="s">
        <v>34</v>
      </c>
      <c r="E500" t="s">
        <v>26</v>
      </c>
      <c r="F500">
        <v>30</v>
      </c>
      <c r="G500">
        <v>350</v>
      </c>
      <c r="H500">
        <v>10500</v>
      </c>
    </row>
    <row r="501" spans="1:8" x14ac:dyDescent="0.3">
      <c r="A501" s="1">
        <v>44325</v>
      </c>
      <c r="B501" t="s">
        <v>35</v>
      </c>
      <c r="C501" t="s">
        <v>13</v>
      </c>
      <c r="D501" t="s">
        <v>21</v>
      </c>
      <c r="E501" t="s">
        <v>26</v>
      </c>
      <c r="F501">
        <v>45</v>
      </c>
      <c r="G501">
        <v>1575</v>
      </c>
      <c r="H501">
        <v>70875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15ABF-189D-437E-900D-A8FC7FE0675F}">
  <dimension ref="A1:H46"/>
  <sheetViews>
    <sheetView topLeftCell="A4" workbookViewId="0">
      <selection activeCell="A3" sqref="A3:H46"/>
    </sheetView>
  </sheetViews>
  <sheetFormatPr defaultRowHeight="14.4" x14ac:dyDescent="0.3"/>
  <cols>
    <col min="1" max="1" width="10.33203125" bestFit="1" customWidth="1"/>
    <col min="2" max="2" width="16.77734375" bestFit="1" customWidth="1"/>
    <col min="3" max="3" width="10.77734375" bestFit="1" customWidth="1"/>
    <col min="4" max="4" width="11.109375" bestFit="1" customWidth="1"/>
    <col min="5" max="5" width="10.6640625" bestFit="1" customWidth="1"/>
    <col min="6" max="6" width="13.21875" bestFit="1" customWidth="1"/>
    <col min="7" max="7" width="9" bestFit="1" customWidth="1"/>
    <col min="8" max="8" width="10.109375" bestFit="1" customWidth="1"/>
  </cols>
  <sheetData>
    <row r="1" spans="1:8" x14ac:dyDescent="0.3">
      <c r="A1" s="5" t="s">
        <v>63</v>
      </c>
    </row>
    <row r="3" spans="1:8" x14ac:dyDescent="0.3">
      <c r="A3" t="s">
        <v>0</v>
      </c>
      <c r="B3" t="s">
        <v>1</v>
      </c>
      <c r="C3" t="s">
        <v>2</v>
      </c>
      <c r="D3" t="s">
        <v>3</v>
      </c>
      <c r="E3" t="s">
        <v>4</v>
      </c>
      <c r="F3" t="s">
        <v>5</v>
      </c>
      <c r="G3" t="s">
        <v>6</v>
      </c>
      <c r="H3" t="s">
        <v>7</v>
      </c>
    </row>
    <row r="4" spans="1:8" x14ac:dyDescent="0.3">
      <c r="A4" s="4">
        <v>44502</v>
      </c>
      <c r="B4" t="s">
        <v>20</v>
      </c>
      <c r="C4" t="s">
        <v>17</v>
      </c>
      <c r="D4" t="s">
        <v>21</v>
      </c>
      <c r="E4" t="s">
        <v>29</v>
      </c>
      <c r="F4">
        <v>41</v>
      </c>
      <c r="G4">
        <v>75</v>
      </c>
      <c r="H4">
        <v>3075</v>
      </c>
    </row>
    <row r="5" spans="1:8" x14ac:dyDescent="0.3">
      <c r="A5" s="4">
        <v>44502</v>
      </c>
      <c r="B5" t="s">
        <v>33</v>
      </c>
      <c r="C5" t="s">
        <v>17</v>
      </c>
      <c r="D5" t="s">
        <v>39</v>
      </c>
      <c r="E5" t="s">
        <v>31</v>
      </c>
      <c r="F5">
        <v>34</v>
      </c>
      <c r="G5">
        <v>350</v>
      </c>
      <c r="H5">
        <v>11900</v>
      </c>
    </row>
    <row r="6" spans="1:8" x14ac:dyDescent="0.3">
      <c r="A6" s="4">
        <v>44502</v>
      </c>
      <c r="B6" t="s">
        <v>25</v>
      </c>
      <c r="C6" t="s">
        <v>9</v>
      </c>
      <c r="D6" t="s">
        <v>18</v>
      </c>
      <c r="E6" t="s">
        <v>29</v>
      </c>
      <c r="F6">
        <v>47</v>
      </c>
      <c r="G6">
        <v>1500</v>
      </c>
      <c r="H6">
        <v>70500</v>
      </c>
    </row>
    <row r="7" spans="1:8" x14ac:dyDescent="0.3">
      <c r="A7" s="4">
        <v>44503</v>
      </c>
      <c r="B7" t="s">
        <v>33</v>
      </c>
      <c r="C7" t="s">
        <v>17</v>
      </c>
      <c r="D7" t="s">
        <v>34</v>
      </c>
      <c r="E7" t="s">
        <v>26</v>
      </c>
      <c r="F7">
        <v>30</v>
      </c>
      <c r="G7">
        <v>350</v>
      </c>
      <c r="H7">
        <v>10500</v>
      </c>
    </row>
    <row r="8" spans="1:8" x14ac:dyDescent="0.3">
      <c r="A8" s="4">
        <v>44503</v>
      </c>
      <c r="B8" t="s">
        <v>20</v>
      </c>
      <c r="C8" t="s">
        <v>17</v>
      </c>
      <c r="D8" t="s">
        <v>21</v>
      </c>
      <c r="E8" t="s">
        <v>19</v>
      </c>
      <c r="F8">
        <v>13</v>
      </c>
      <c r="G8">
        <v>75</v>
      </c>
      <c r="H8">
        <v>975</v>
      </c>
    </row>
    <row r="9" spans="1:8" x14ac:dyDescent="0.3">
      <c r="A9" s="4">
        <v>44503</v>
      </c>
      <c r="B9" t="s">
        <v>20</v>
      </c>
      <c r="C9" t="s">
        <v>17</v>
      </c>
      <c r="D9" t="s">
        <v>21</v>
      </c>
      <c r="E9" t="s">
        <v>23</v>
      </c>
      <c r="F9">
        <v>38</v>
      </c>
      <c r="G9">
        <v>75</v>
      </c>
      <c r="H9">
        <v>2850</v>
      </c>
    </row>
    <row r="10" spans="1:8" x14ac:dyDescent="0.3">
      <c r="A10" s="4">
        <v>44504</v>
      </c>
      <c r="B10" t="s">
        <v>20</v>
      </c>
      <c r="C10" t="s">
        <v>17</v>
      </c>
      <c r="D10" t="s">
        <v>32</v>
      </c>
      <c r="E10" t="s">
        <v>24</v>
      </c>
      <c r="F10">
        <v>23</v>
      </c>
      <c r="G10">
        <v>75</v>
      </c>
      <c r="H10">
        <v>1725</v>
      </c>
    </row>
    <row r="11" spans="1:8" x14ac:dyDescent="0.3">
      <c r="A11" s="4">
        <v>44505</v>
      </c>
      <c r="B11" t="s">
        <v>12</v>
      </c>
      <c r="C11" t="s">
        <v>13</v>
      </c>
      <c r="D11" t="s">
        <v>10</v>
      </c>
      <c r="E11" t="s">
        <v>27</v>
      </c>
      <c r="F11">
        <v>40</v>
      </c>
      <c r="G11">
        <v>790</v>
      </c>
      <c r="H11">
        <v>31600</v>
      </c>
    </row>
    <row r="12" spans="1:8" x14ac:dyDescent="0.3">
      <c r="A12" s="4">
        <v>44506</v>
      </c>
      <c r="B12" t="s">
        <v>25</v>
      </c>
      <c r="C12" t="s">
        <v>9</v>
      </c>
      <c r="D12" t="s">
        <v>32</v>
      </c>
      <c r="E12" t="s">
        <v>19</v>
      </c>
      <c r="F12">
        <v>17</v>
      </c>
      <c r="G12">
        <v>1500</v>
      </c>
      <c r="H12">
        <v>25500</v>
      </c>
    </row>
    <row r="13" spans="1:8" x14ac:dyDescent="0.3">
      <c r="A13" s="4">
        <v>44506</v>
      </c>
      <c r="B13" t="s">
        <v>36</v>
      </c>
      <c r="C13" t="s">
        <v>13</v>
      </c>
      <c r="D13" t="s">
        <v>32</v>
      </c>
      <c r="E13" t="s">
        <v>27</v>
      </c>
      <c r="F13">
        <v>28</v>
      </c>
      <c r="G13">
        <v>950</v>
      </c>
      <c r="H13">
        <v>26600</v>
      </c>
    </row>
    <row r="14" spans="1:8" x14ac:dyDescent="0.3">
      <c r="A14" s="4">
        <v>44506</v>
      </c>
      <c r="B14" t="s">
        <v>22</v>
      </c>
      <c r="C14" t="s">
        <v>9</v>
      </c>
      <c r="D14" t="s">
        <v>34</v>
      </c>
      <c r="E14" t="s">
        <v>31</v>
      </c>
      <c r="F14">
        <v>48</v>
      </c>
      <c r="G14">
        <v>1080</v>
      </c>
      <c r="H14">
        <v>51840</v>
      </c>
    </row>
    <row r="15" spans="1:8" x14ac:dyDescent="0.3">
      <c r="A15" s="4">
        <v>44506</v>
      </c>
      <c r="B15" t="s">
        <v>22</v>
      </c>
      <c r="C15" t="s">
        <v>9</v>
      </c>
      <c r="D15" t="s">
        <v>32</v>
      </c>
      <c r="E15" t="s">
        <v>23</v>
      </c>
      <c r="F15">
        <v>24</v>
      </c>
      <c r="G15">
        <v>1080</v>
      </c>
      <c r="H15">
        <v>25920</v>
      </c>
    </row>
    <row r="16" spans="1:8" x14ac:dyDescent="0.3">
      <c r="A16" s="4">
        <v>44507</v>
      </c>
      <c r="B16" t="s">
        <v>20</v>
      </c>
      <c r="C16" t="s">
        <v>17</v>
      </c>
      <c r="D16" t="s">
        <v>14</v>
      </c>
      <c r="E16" t="s">
        <v>11</v>
      </c>
      <c r="F16">
        <v>46</v>
      </c>
      <c r="G16">
        <v>75</v>
      </c>
      <c r="H16">
        <v>3450</v>
      </c>
    </row>
    <row r="17" spans="1:8" x14ac:dyDescent="0.3">
      <c r="A17" s="4">
        <v>44507</v>
      </c>
      <c r="B17" t="s">
        <v>33</v>
      </c>
      <c r="C17" t="s">
        <v>17</v>
      </c>
      <c r="D17" t="s">
        <v>14</v>
      </c>
      <c r="E17" t="s">
        <v>37</v>
      </c>
      <c r="F17">
        <v>14</v>
      </c>
      <c r="G17">
        <v>350</v>
      </c>
      <c r="H17">
        <v>4900</v>
      </c>
    </row>
    <row r="18" spans="1:8" x14ac:dyDescent="0.3">
      <c r="A18" s="4">
        <v>44507</v>
      </c>
      <c r="B18" t="s">
        <v>33</v>
      </c>
      <c r="C18" t="s">
        <v>17</v>
      </c>
      <c r="D18" t="s">
        <v>30</v>
      </c>
      <c r="E18" t="s">
        <v>24</v>
      </c>
      <c r="F18">
        <v>8</v>
      </c>
      <c r="G18">
        <v>350</v>
      </c>
      <c r="H18">
        <v>2800</v>
      </c>
    </row>
    <row r="19" spans="1:8" x14ac:dyDescent="0.3">
      <c r="A19" s="4">
        <v>44511</v>
      </c>
      <c r="B19" t="s">
        <v>16</v>
      </c>
      <c r="C19" t="s">
        <v>17</v>
      </c>
      <c r="D19" t="s">
        <v>28</v>
      </c>
      <c r="E19" t="s">
        <v>19</v>
      </c>
      <c r="F19">
        <v>2</v>
      </c>
      <c r="G19">
        <v>315</v>
      </c>
      <c r="H19">
        <v>630</v>
      </c>
    </row>
    <row r="20" spans="1:8" x14ac:dyDescent="0.3">
      <c r="A20" s="4">
        <v>44512</v>
      </c>
      <c r="B20" t="s">
        <v>20</v>
      </c>
      <c r="C20" t="s">
        <v>17</v>
      </c>
      <c r="D20" t="s">
        <v>18</v>
      </c>
      <c r="E20" t="s">
        <v>15</v>
      </c>
      <c r="F20">
        <v>20</v>
      </c>
      <c r="G20">
        <v>75</v>
      </c>
      <c r="H20">
        <v>1500</v>
      </c>
    </row>
    <row r="21" spans="1:8" x14ac:dyDescent="0.3">
      <c r="A21" s="4">
        <v>44512</v>
      </c>
      <c r="B21" t="s">
        <v>33</v>
      </c>
      <c r="C21" t="s">
        <v>17</v>
      </c>
      <c r="D21" t="s">
        <v>10</v>
      </c>
      <c r="E21" t="s">
        <v>19</v>
      </c>
      <c r="F21">
        <v>18</v>
      </c>
      <c r="G21">
        <v>350</v>
      </c>
      <c r="H21">
        <v>6300</v>
      </c>
    </row>
    <row r="22" spans="1:8" x14ac:dyDescent="0.3">
      <c r="A22" s="4">
        <v>44512</v>
      </c>
      <c r="B22" t="s">
        <v>12</v>
      </c>
      <c r="C22" t="s">
        <v>13</v>
      </c>
      <c r="D22" t="s">
        <v>14</v>
      </c>
      <c r="E22" t="s">
        <v>15</v>
      </c>
      <c r="F22">
        <v>21</v>
      </c>
      <c r="G22">
        <v>790</v>
      </c>
      <c r="H22">
        <v>16590</v>
      </c>
    </row>
    <row r="23" spans="1:8" x14ac:dyDescent="0.3">
      <c r="A23" s="4">
        <v>44512</v>
      </c>
      <c r="B23" t="s">
        <v>35</v>
      </c>
      <c r="C23" t="s">
        <v>13</v>
      </c>
      <c r="D23" t="s">
        <v>32</v>
      </c>
      <c r="E23" t="s">
        <v>23</v>
      </c>
      <c r="F23">
        <v>19</v>
      </c>
      <c r="G23">
        <v>1575</v>
      </c>
      <c r="H23">
        <v>29925</v>
      </c>
    </row>
    <row r="24" spans="1:8" x14ac:dyDescent="0.3">
      <c r="A24" s="4">
        <v>44513</v>
      </c>
      <c r="B24" t="s">
        <v>36</v>
      </c>
      <c r="C24" t="s">
        <v>13</v>
      </c>
      <c r="D24" t="s">
        <v>10</v>
      </c>
      <c r="E24" t="s">
        <v>24</v>
      </c>
      <c r="F24">
        <v>16</v>
      </c>
      <c r="G24">
        <v>950</v>
      </c>
      <c r="H24">
        <v>15200</v>
      </c>
    </row>
    <row r="25" spans="1:8" x14ac:dyDescent="0.3">
      <c r="A25" s="4">
        <v>44514</v>
      </c>
      <c r="B25" t="s">
        <v>25</v>
      </c>
      <c r="C25" t="s">
        <v>9</v>
      </c>
      <c r="D25" t="s">
        <v>39</v>
      </c>
      <c r="E25" t="s">
        <v>27</v>
      </c>
      <c r="F25">
        <v>35</v>
      </c>
      <c r="G25">
        <v>1500</v>
      </c>
      <c r="H25">
        <v>52500</v>
      </c>
    </row>
    <row r="26" spans="1:8" x14ac:dyDescent="0.3">
      <c r="A26" s="4">
        <v>44514</v>
      </c>
      <c r="B26" t="s">
        <v>35</v>
      </c>
      <c r="C26" t="s">
        <v>13</v>
      </c>
      <c r="D26" t="s">
        <v>32</v>
      </c>
      <c r="E26" t="s">
        <v>11</v>
      </c>
      <c r="F26">
        <v>48</v>
      </c>
      <c r="G26">
        <v>1575</v>
      </c>
      <c r="H26">
        <v>75600</v>
      </c>
    </row>
    <row r="27" spans="1:8" x14ac:dyDescent="0.3">
      <c r="A27" s="4">
        <v>44515</v>
      </c>
      <c r="B27" t="s">
        <v>20</v>
      </c>
      <c r="C27" t="s">
        <v>17</v>
      </c>
      <c r="D27" t="s">
        <v>34</v>
      </c>
      <c r="E27" t="s">
        <v>31</v>
      </c>
      <c r="F27">
        <v>7</v>
      </c>
      <c r="G27">
        <v>75</v>
      </c>
      <c r="H27">
        <v>525</v>
      </c>
    </row>
    <row r="28" spans="1:8" x14ac:dyDescent="0.3">
      <c r="A28" s="4">
        <v>44517</v>
      </c>
      <c r="B28" t="s">
        <v>36</v>
      </c>
      <c r="C28" t="s">
        <v>13</v>
      </c>
      <c r="D28" t="s">
        <v>32</v>
      </c>
      <c r="E28" t="s">
        <v>23</v>
      </c>
      <c r="F28">
        <v>5</v>
      </c>
      <c r="G28">
        <v>950</v>
      </c>
      <c r="H28">
        <v>4750</v>
      </c>
    </row>
    <row r="29" spans="1:8" x14ac:dyDescent="0.3">
      <c r="A29" s="4">
        <v>44518</v>
      </c>
      <c r="B29" t="s">
        <v>36</v>
      </c>
      <c r="C29" t="s">
        <v>13</v>
      </c>
      <c r="D29" t="s">
        <v>39</v>
      </c>
      <c r="E29" t="s">
        <v>27</v>
      </c>
      <c r="F29">
        <v>37</v>
      </c>
      <c r="G29">
        <v>950</v>
      </c>
      <c r="H29">
        <v>35150</v>
      </c>
    </row>
    <row r="30" spans="1:8" x14ac:dyDescent="0.3">
      <c r="A30" s="4">
        <v>44519</v>
      </c>
      <c r="B30" t="s">
        <v>8</v>
      </c>
      <c r="C30" t="s">
        <v>9</v>
      </c>
      <c r="D30" t="s">
        <v>30</v>
      </c>
      <c r="E30" t="s">
        <v>19</v>
      </c>
      <c r="F30">
        <v>18</v>
      </c>
      <c r="G30">
        <v>2001</v>
      </c>
      <c r="H30">
        <v>36018</v>
      </c>
    </row>
    <row r="31" spans="1:8" x14ac:dyDescent="0.3">
      <c r="A31" s="4">
        <v>44520</v>
      </c>
      <c r="B31" t="s">
        <v>22</v>
      </c>
      <c r="C31" t="s">
        <v>9</v>
      </c>
      <c r="D31" t="s">
        <v>38</v>
      </c>
      <c r="E31" t="s">
        <v>24</v>
      </c>
      <c r="F31">
        <v>6</v>
      </c>
      <c r="G31">
        <v>1080</v>
      </c>
      <c r="H31">
        <v>6480</v>
      </c>
    </row>
    <row r="32" spans="1:8" x14ac:dyDescent="0.3">
      <c r="A32" s="4">
        <v>44521</v>
      </c>
      <c r="B32" t="s">
        <v>33</v>
      </c>
      <c r="C32" t="s">
        <v>17</v>
      </c>
      <c r="D32" t="s">
        <v>14</v>
      </c>
      <c r="E32" t="s">
        <v>26</v>
      </c>
      <c r="F32">
        <v>10</v>
      </c>
      <c r="G32">
        <v>350</v>
      </c>
      <c r="H32">
        <v>3500</v>
      </c>
    </row>
    <row r="33" spans="1:8" x14ac:dyDescent="0.3">
      <c r="A33" s="4">
        <v>44521</v>
      </c>
      <c r="B33" t="s">
        <v>12</v>
      </c>
      <c r="C33" t="s">
        <v>13</v>
      </c>
      <c r="D33" t="s">
        <v>10</v>
      </c>
      <c r="E33" t="s">
        <v>37</v>
      </c>
      <c r="F33">
        <v>46</v>
      </c>
      <c r="G33">
        <v>790</v>
      </c>
      <c r="H33">
        <v>36340</v>
      </c>
    </row>
    <row r="34" spans="1:8" x14ac:dyDescent="0.3">
      <c r="A34" s="4">
        <v>44522</v>
      </c>
      <c r="B34" t="s">
        <v>36</v>
      </c>
      <c r="C34" t="s">
        <v>13</v>
      </c>
      <c r="D34" t="s">
        <v>32</v>
      </c>
      <c r="E34" t="s">
        <v>19</v>
      </c>
      <c r="F34">
        <v>33</v>
      </c>
      <c r="G34">
        <v>950</v>
      </c>
      <c r="H34">
        <v>31350</v>
      </c>
    </row>
    <row r="35" spans="1:8" x14ac:dyDescent="0.3">
      <c r="A35" s="4">
        <v>44522</v>
      </c>
      <c r="B35" t="s">
        <v>16</v>
      </c>
      <c r="C35" t="s">
        <v>17</v>
      </c>
      <c r="D35" t="s">
        <v>21</v>
      </c>
      <c r="E35" t="s">
        <v>37</v>
      </c>
      <c r="F35">
        <v>30</v>
      </c>
      <c r="G35">
        <v>315</v>
      </c>
      <c r="H35">
        <v>9450</v>
      </c>
    </row>
    <row r="36" spans="1:8" x14ac:dyDescent="0.3">
      <c r="A36" s="4">
        <v>44523</v>
      </c>
      <c r="B36" t="s">
        <v>8</v>
      </c>
      <c r="C36" t="s">
        <v>9</v>
      </c>
      <c r="D36" t="s">
        <v>18</v>
      </c>
      <c r="E36" t="s">
        <v>19</v>
      </c>
      <c r="F36">
        <v>37</v>
      </c>
      <c r="G36">
        <v>2001</v>
      </c>
      <c r="H36">
        <v>74037</v>
      </c>
    </row>
    <row r="37" spans="1:8" x14ac:dyDescent="0.3">
      <c r="A37" s="4">
        <v>44524</v>
      </c>
      <c r="B37" t="s">
        <v>22</v>
      </c>
      <c r="C37" t="s">
        <v>9</v>
      </c>
      <c r="D37" t="s">
        <v>14</v>
      </c>
      <c r="E37" t="s">
        <v>37</v>
      </c>
      <c r="F37">
        <v>26</v>
      </c>
      <c r="G37">
        <v>1080</v>
      </c>
      <c r="H37">
        <v>28080</v>
      </c>
    </row>
    <row r="38" spans="1:8" x14ac:dyDescent="0.3">
      <c r="A38" s="4">
        <v>44525</v>
      </c>
      <c r="B38" t="s">
        <v>12</v>
      </c>
      <c r="C38" t="s">
        <v>13</v>
      </c>
      <c r="D38" t="s">
        <v>30</v>
      </c>
      <c r="E38" t="s">
        <v>29</v>
      </c>
      <c r="F38">
        <v>18</v>
      </c>
      <c r="G38">
        <v>790</v>
      </c>
      <c r="H38">
        <v>14220</v>
      </c>
    </row>
    <row r="39" spans="1:8" x14ac:dyDescent="0.3">
      <c r="A39" s="4">
        <v>44525</v>
      </c>
      <c r="B39" t="s">
        <v>8</v>
      </c>
      <c r="C39" t="s">
        <v>9</v>
      </c>
      <c r="D39" t="s">
        <v>21</v>
      </c>
      <c r="E39" t="s">
        <v>19</v>
      </c>
      <c r="F39">
        <v>40</v>
      </c>
      <c r="G39">
        <v>2001</v>
      </c>
      <c r="H39">
        <v>80040</v>
      </c>
    </row>
    <row r="40" spans="1:8" x14ac:dyDescent="0.3">
      <c r="A40" s="4">
        <v>44526</v>
      </c>
      <c r="B40" t="s">
        <v>8</v>
      </c>
      <c r="C40" t="s">
        <v>9</v>
      </c>
      <c r="D40" t="s">
        <v>18</v>
      </c>
      <c r="E40" t="s">
        <v>11</v>
      </c>
      <c r="F40">
        <v>44</v>
      </c>
      <c r="G40">
        <v>2001</v>
      </c>
      <c r="H40">
        <v>88044</v>
      </c>
    </row>
    <row r="41" spans="1:8" x14ac:dyDescent="0.3">
      <c r="A41" s="4">
        <v>44528</v>
      </c>
      <c r="B41" t="s">
        <v>22</v>
      </c>
      <c r="C41" t="s">
        <v>9</v>
      </c>
      <c r="D41" t="s">
        <v>10</v>
      </c>
      <c r="E41" t="s">
        <v>23</v>
      </c>
      <c r="F41">
        <v>49</v>
      </c>
      <c r="G41">
        <v>1080</v>
      </c>
      <c r="H41">
        <v>52920</v>
      </c>
    </row>
    <row r="42" spans="1:8" x14ac:dyDescent="0.3">
      <c r="A42" s="4">
        <v>44528</v>
      </c>
      <c r="B42" t="s">
        <v>22</v>
      </c>
      <c r="C42" t="s">
        <v>9</v>
      </c>
      <c r="D42" t="s">
        <v>39</v>
      </c>
      <c r="E42" t="s">
        <v>11</v>
      </c>
      <c r="F42">
        <v>14</v>
      </c>
      <c r="G42">
        <v>1080</v>
      </c>
      <c r="H42">
        <v>15120</v>
      </c>
    </row>
    <row r="43" spans="1:8" x14ac:dyDescent="0.3">
      <c r="A43" s="4">
        <v>44529</v>
      </c>
      <c r="B43" t="s">
        <v>8</v>
      </c>
      <c r="C43" t="s">
        <v>9</v>
      </c>
      <c r="D43" t="s">
        <v>32</v>
      </c>
      <c r="E43" t="s">
        <v>37</v>
      </c>
      <c r="F43">
        <v>34</v>
      </c>
      <c r="G43">
        <v>2001</v>
      </c>
      <c r="H43">
        <v>68034</v>
      </c>
    </row>
    <row r="44" spans="1:8" x14ac:dyDescent="0.3">
      <c r="A44" s="4">
        <v>44530</v>
      </c>
      <c r="B44" t="s">
        <v>35</v>
      </c>
      <c r="C44" t="s">
        <v>13</v>
      </c>
      <c r="D44" t="s">
        <v>32</v>
      </c>
      <c r="E44" t="s">
        <v>15</v>
      </c>
      <c r="F44">
        <v>43</v>
      </c>
      <c r="G44">
        <v>1575</v>
      </c>
      <c r="H44">
        <v>67725</v>
      </c>
    </row>
    <row r="45" spans="1:8" x14ac:dyDescent="0.3">
      <c r="A45" s="4">
        <v>44530</v>
      </c>
      <c r="B45" t="s">
        <v>36</v>
      </c>
      <c r="C45" t="s">
        <v>13</v>
      </c>
      <c r="D45" t="s">
        <v>14</v>
      </c>
      <c r="E45" t="s">
        <v>29</v>
      </c>
      <c r="F45">
        <v>4</v>
      </c>
      <c r="G45">
        <v>950</v>
      </c>
      <c r="H45">
        <v>3800</v>
      </c>
    </row>
    <row r="46" spans="1:8" x14ac:dyDescent="0.3">
      <c r="A46" s="4">
        <v>44530</v>
      </c>
      <c r="B46" t="s">
        <v>35</v>
      </c>
      <c r="C46" t="s">
        <v>13</v>
      </c>
      <c r="D46" t="s">
        <v>18</v>
      </c>
      <c r="E46" t="s">
        <v>23</v>
      </c>
      <c r="F46">
        <v>4</v>
      </c>
      <c r="G46">
        <v>1575</v>
      </c>
      <c r="H46">
        <v>6300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7F5A0-E1D3-437C-B3C6-3AB48B5062A6}">
  <dimension ref="A1:E8"/>
  <sheetViews>
    <sheetView workbookViewId="0">
      <selection activeCell="P3" sqref="P3"/>
    </sheetView>
  </sheetViews>
  <sheetFormatPr defaultRowHeight="14.4" x14ac:dyDescent="0.3"/>
  <cols>
    <col min="1" max="1" width="13.88671875" bestFit="1" customWidth="1"/>
    <col min="2" max="2" width="9.5546875" bestFit="1" customWidth="1"/>
    <col min="4" max="4" width="12.5546875" bestFit="1" customWidth="1"/>
    <col min="5" max="5" width="14.44140625" bestFit="1" customWidth="1"/>
  </cols>
  <sheetData>
    <row r="1" spans="1:5" x14ac:dyDescent="0.3">
      <c r="A1" t="s">
        <v>50</v>
      </c>
      <c r="B1" t="s">
        <v>51</v>
      </c>
    </row>
    <row r="2" spans="1:5" x14ac:dyDescent="0.3">
      <c r="A2" t="s">
        <v>52</v>
      </c>
      <c r="B2" s="8">
        <f>SUM(Raw_Data!H:H)</f>
        <v>12397528</v>
      </c>
    </row>
    <row r="3" spans="1:5" x14ac:dyDescent="0.3">
      <c r="A3" t="s">
        <v>53</v>
      </c>
      <c r="B3" s="8">
        <f>SUM(Raw_Data!F:F)</f>
        <v>13039</v>
      </c>
    </row>
    <row r="4" spans="1:5" x14ac:dyDescent="0.3">
      <c r="A4" t="s">
        <v>54</v>
      </c>
      <c r="B4" s="8">
        <f>AVERAGE(Raw_Data!H:H)</f>
        <v>24795.056</v>
      </c>
    </row>
    <row r="5" spans="1:5" x14ac:dyDescent="0.3">
      <c r="A5" t="s">
        <v>55</v>
      </c>
      <c r="B5" s="8">
        <f>MAX(Raw_Data!H:H)</f>
        <v>94047</v>
      </c>
    </row>
    <row r="6" spans="1:5" x14ac:dyDescent="0.3">
      <c r="A6" t="s">
        <v>56</v>
      </c>
      <c r="B6" s="8">
        <f>MIN(Raw_Data!H:H)</f>
        <v>75</v>
      </c>
      <c r="D6" s="2" t="s">
        <v>40</v>
      </c>
      <c r="E6" t="s">
        <v>42</v>
      </c>
    </row>
    <row r="7" spans="1:5" x14ac:dyDescent="0.3">
      <c r="A7" s="8"/>
      <c r="B7" s="8"/>
      <c r="D7" s="3" t="s">
        <v>13</v>
      </c>
      <c r="E7" s="11">
        <v>169510</v>
      </c>
    </row>
    <row r="8" spans="1:5" x14ac:dyDescent="0.3">
      <c r="D8" s="3" t="s">
        <v>41</v>
      </c>
      <c r="E8" s="11">
        <v>169510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AAA43-F272-4E8F-B59C-FE8ED2C88BB3}">
  <dimension ref="N1"/>
  <sheetViews>
    <sheetView showGridLines="0" tabSelected="1" zoomScaleNormal="100" workbookViewId="0">
      <selection activeCell="G36" sqref="G36"/>
    </sheetView>
  </sheetViews>
  <sheetFormatPr defaultRowHeight="14.4" x14ac:dyDescent="0.3"/>
  <cols>
    <col min="1" max="16384" width="8.88671875" style="9"/>
  </cols>
  <sheetData>
    <row r="1" spans="14:14" x14ac:dyDescent="0.3">
      <c r="N1"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Detail1</vt:lpstr>
      <vt:lpstr>Detail2</vt:lpstr>
      <vt:lpstr>Detail3</vt:lpstr>
      <vt:lpstr>Detail4</vt:lpstr>
      <vt:lpstr>Sheet1</vt:lpstr>
      <vt:lpstr>Dashboard</vt:lpstr>
      <vt:lpstr>Sheet3</vt:lpstr>
      <vt:lpstr>Raw_Data</vt:lpstr>
      <vt:lpstr>Detail5</vt:lpstr>
      <vt:lpstr>Analysis</vt:lpstr>
      <vt:lpstr>Dash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Sanika Gaikwad</cp:lastModifiedBy>
  <dcterms:created xsi:type="dcterms:W3CDTF">2026-07-03T01:24:18Z</dcterms:created>
  <dcterms:modified xsi:type="dcterms:W3CDTF">2026-08-17T15:48:15Z</dcterms:modified>
</cp:coreProperties>
</file>