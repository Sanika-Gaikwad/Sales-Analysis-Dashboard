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nik\OneDrive\Desktop\EXCEL\Rab Tech\"/>
    </mc:Choice>
  </mc:AlternateContent>
  <xr:revisionPtr revIDLastSave="0" documentId="8_{DECEDF14-7474-4758-B13E-275AFC2E734D}" xr6:coauthVersionLast="47" xr6:coauthVersionMax="47" xr10:uidLastSave="{00000000-0000-0000-0000-000000000000}"/>
  <bookViews>
    <workbookView xWindow="-108" yWindow="-108" windowWidth="23256" windowHeight="12456" activeTab="4" xr2:uid="{00000000-000D-0000-FFFF-FFFF00000000}"/>
  </bookViews>
  <sheets>
    <sheet name="Sheet3" sheetId="3" r:id="rId1"/>
    <sheet name="KPI_Pivot and Dashbard" sheetId="4" r:id="rId2"/>
    <sheet name="Data Quality Contract" sheetId="5" r:id="rId3"/>
    <sheet name="Cleaned Data" sheetId="1" r:id="rId4"/>
    <sheet name="Analysis" sheetId="2" r:id="rId5"/>
  </sheets>
  <definedNames>
    <definedName name="Slicer_customer_segment">#N/A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4" i="2"/>
  <c r="B2" i="2"/>
  <c r="B3" i="2"/>
</calcChain>
</file>

<file path=xl/sharedStrings.xml><?xml version="1.0" encoding="utf-8"?>
<sst xmlns="http://schemas.openxmlformats.org/spreadsheetml/2006/main" count="130" uniqueCount="85">
  <si>
    <t>order_id</t>
  </si>
  <si>
    <t>order_date</t>
  </si>
  <si>
    <t>customer_segment</t>
  </si>
  <si>
    <t>city</t>
  </si>
  <si>
    <t>category</t>
  </si>
  <si>
    <t>quantity</t>
  </si>
  <si>
    <t>unit_price</t>
  </si>
  <si>
    <t>discount_pct</t>
  </si>
  <si>
    <t>payment_status</t>
  </si>
  <si>
    <t>gross_sales</t>
  </si>
  <si>
    <t>discount_amount</t>
  </si>
  <si>
    <t>net_sales</t>
  </si>
  <si>
    <t>RT-1001</t>
  </si>
  <si>
    <t>Student</t>
  </si>
  <si>
    <t>Chennai</t>
  </si>
  <si>
    <t>Learning Kit</t>
  </si>
  <si>
    <t>Paid</t>
  </si>
  <si>
    <t>RT-1002</t>
  </si>
  <si>
    <t>Fresher</t>
  </si>
  <si>
    <t>Bengaluru</t>
  </si>
  <si>
    <t>Course Access</t>
  </si>
  <si>
    <t>RT-1004</t>
  </si>
  <si>
    <t>Professional</t>
  </si>
  <si>
    <t>Hyderabad</t>
  </si>
  <si>
    <t>RT-1005</t>
  </si>
  <si>
    <t>Mentor Session</t>
  </si>
  <si>
    <t>Failed</t>
  </si>
  <si>
    <t>RT-1009</t>
  </si>
  <si>
    <t>RT-1010</t>
  </si>
  <si>
    <t>Delhi</t>
  </si>
  <si>
    <t>Refunded</t>
  </si>
  <si>
    <t>RT-1011</t>
  </si>
  <si>
    <t>Kochi</t>
  </si>
  <si>
    <t>KPI</t>
  </si>
  <si>
    <t>Value</t>
  </si>
  <si>
    <t>Total Orders</t>
  </si>
  <si>
    <t>Total Quantity</t>
  </si>
  <si>
    <t>Total Revenue</t>
  </si>
  <si>
    <t>Average Order Value</t>
  </si>
  <si>
    <t>Row Labels</t>
  </si>
  <si>
    <t>Grand Total</t>
  </si>
  <si>
    <t>Sum of net_sales</t>
  </si>
  <si>
    <t>Count of order_id</t>
  </si>
  <si>
    <t>Sum of quantity</t>
  </si>
  <si>
    <t>Average of net_sales2</t>
  </si>
  <si>
    <t>Quality Dimension</t>
  </si>
  <si>
    <t>Quality Rule</t>
  </si>
  <si>
    <t>Column(s)</t>
  </si>
  <si>
    <t>Threshold</t>
  </si>
  <si>
    <t>Failure Condition</t>
  </si>
  <si>
    <t>Escalation Action</t>
  </si>
  <si>
    <t>Completeness</t>
  </si>
  <si>
    <t>Required fields must not be blank</t>
  </si>
  <si>
    <t>order_id, order_date, customer_segment, category, quantity, unit_price, payment_status</t>
  </si>
  <si>
    <t>≤ 5% missing</t>
  </si>
  <si>
    <t>More than 5% missing</t>
  </si>
  <si>
    <t>Notify Data Owner and investigate source data</t>
  </si>
  <si>
    <t>Uniqueness</t>
  </si>
  <si>
    <t>Each order_id should be unique</t>
  </si>
  <si>
    <t>0 duplicates</t>
  </si>
  <si>
    <t>Any duplicate order_id</t>
  </si>
  <si>
    <t>Investigate duplicate records and remove/merge if required</t>
  </si>
  <si>
    <t>Validity</t>
  </si>
  <si>
    <t>Quantity must be a positive number</t>
  </si>
  <si>
    <t>0 invalid</t>
  </si>
  <si>
    <t>quantity ≤ 0 or non-numeric</t>
  </si>
  <si>
    <t>Reject record and correct source data</t>
  </si>
  <si>
    <t>Unit price must be positive</t>
  </si>
  <si>
    <t>unit_price ≤ 0 or non-numeric</t>
  </si>
  <si>
    <t>Discount percentage must be between 0 and 100</t>
  </si>
  <si>
    <t>discount_pct &lt; 0 or &gt; 100</t>
  </si>
  <si>
    <t>Correct value or reject record</t>
  </si>
  <si>
    <t>Consistency</t>
  </si>
  <si>
    <t>Customer segment must use approved values</t>
  </si>
  <si>
    <t>0 invalid values</t>
  </si>
  <si>
    <t>Value outside Student, Fresher, Professional</t>
  </si>
  <si>
    <t>Standardize value and notify Data Owner</t>
  </si>
  <si>
    <t>Payment status must use approved values</t>
  </si>
  <si>
    <t>Value outside Paid, Pending, Failed, Refunded</t>
  </si>
  <si>
    <t>Standardize value and notify Finance Owner</t>
  </si>
  <si>
    <t>Freshness</t>
  </si>
  <si>
    <t>Latest order data should be refreshed daily</t>
  </si>
  <si>
    <t>≤ 1 day</t>
  </si>
  <si>
    <t>Latest valid order is more than 1 day old</t>
  </si>
  <si>
    <t>Escalate to Data Owner and check data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</si>
</sst>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[retail_orders_cleaned.xlsx]Sheet3!PivotTable1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CITY-WISE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Paid</c:v>
                </c:pt>
                <c:pt idx="1">
                  <c:v>Refunded</c:v>
                </c:pt>
              </c:strCache>
            </c:strRef>
          </c:cat>
          <c:val>
            <c:numRef>
              <c:f>Sheet3!$B$4:$B$6</c:f>
              <c:numCache>
                <c:formatCode>General</c:formatCode>
                <c:ptCount val="2"/>
                <c:pt idx="0">
                  <c:v>1</c:v>
                </c:pt>
                <c:pt idx="1">
                  <c:v>1</c:v>
                </c:pt>
              </c:numCache>
            </c:numRef>
          </c:val>
          <c:extLst>
            <c:ext xmlns:c16="http://schemas.microsoft.com/office/drawing/2014/chart" uri="{C3380CC4-5D6E-409C-BE32-E72D297353CC}">
              <c16:uniqueId val="{00000000-C235-4746-87DD-CD17A5ABEF3E}"/>
            </c:ext>
          </c:extLst>
        </c:ser>
        <c:dLbls>
          <c:showLegendKey val="0"/>
          <c:showVal val="0"/>
          <c:showCatName val="0"/>
          <c:showSerName val="0"/>
          <c:showPercent val="0"/>
          <c:showBubbleSize val="0"/>
        </c:dLbls>
        <c:gapWidth val="182"/>
        <c:axId val="1785877248"/>
        <c:axId val="1811752624"/>
      </c:barChart>
      <c:catAx>
        <c:axId val="178587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52624"/>
        <c:crosses val="autoZero"/>
        <c:auto val="1"/>
        <c:lblAlgn val="ctr"/>
        <c:lblOffset val="100"/>
        <c:noMultiLvlLbl val="0"/>
      </c:catAx>
      <c:valAx>
        <c:axId val="181175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87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[retail_orders_cleaned.xlsx]Sheet3!PivotTable1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Paid</c:v>
                </c:pt>
                <c:pt idx="1">
                  <c:v>Refunded</c:v>
                </c:pt>
              </c:strCache>
            </c:strRef>
          </c:cat>
          <c:val>
            <c:numRef>
              <c:f>Sheet3!$B$4:$B$6</c:f>
              <c:numCache>
                <c:formatCode>General</c:formatCode>
                <c:ptCount val="2"/>
                <c:pt idx="0">
                  <c:v>1</c:v>
                </c:pt>
                <c:pt idx="1">
                  <c:v>1</c:v>
                </c:pt>
              </c:numCache>
            </c:numRef>
          </c:val>
          <c:extLst>
            <c:ext xmlns:c16="http://schemas.microsoft.com/office/drawing/2014/chart" uri="{C3380CC4-5D6E-409C-BE32-E72D297353CC}">
              <c16:uniqueId val="{00000000-8167-4257-B70B-8D95941F83F6}"/>
            </c:ext>
          </c:extLst>
        </c:ser>
        <c:dLbls>
          <c:showLegendKey val="0"/>
          <c:showVal val="0"/>
          <c:showCatName val="0"/>
          <c:showSerName val="0"/>
          <c:showPercent val="0"/>
          <c:showBubbleSize val="0"/>
        </c:dLbls>
        <c:gapWidth val="219"/>
        <c:overlap val="-27"/>
        <c:axId val="1072178704"/>
        <c:axId val="1811736784"/>
      </c:barChart>
      <c:catAx>
        <c:axId val="107217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36784"/>
        <c:crosses val="autoZero"/>
        <c:auto val="1"/>
        <c:lblAlgn val="ctr"/>
        <c:lblOffset val="100"/>
        <c:noMultiLvlLbl val="0"/>
      </c:catAx>
      <c:valAx>
        <c:axId val="181173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17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[retail_orders_cleaned.xlsx]Sheet3!PivotTable1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STATUS</a:t>
            </a:r>
            <a:endParaRPr lang="en-IN"/>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s>
    <c:plotArea>
      <c:layout/>
      <c:doughnutChart>
        <c:varyColors val="1"/>
        <c:ser>
          <c:idx val="0"/>
          <c:order val="0"/>
          <c:tx>
            <c:strRef>
              <c:f>Sheet3!$B$3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A11-4FFF-A495-4E1797B7E35C}"/>
              </c:ext>
            </c:extLst>
          </c:dPt>
          <c:dPt>
            <c:idx val="1"/>
            <c:bubble3D val="0"/>
            <c:extLst>
              <c:ext xmlns:c16="http://schemas.microsoft.com/office/drawing/2014/chart" uri="{C3380CC4-5D6E-409C-BE32-E72D297353CC}">
                <c16:uniqueId val="{00000003-6A11-4FFF-A495-4E1797B7E35C}"/>
              </c:ext>
            </c:extLst>
          </c:dPt>
          <c:dPt>
            <c:idx val="2"/>
            <c:bubble3D val="0"/>
            <c:extLst>
              <c:ext xmlns:c16="http://schemas.microsoft.com/office/drawing/2014/chart" uri="{C3380CC4-5D6E-409C-BE32-E72D297353CC}">
                <c16:uniqueId val="{00000004-6A11-4FFF-A495-4E1797B7E35C}"/>
              </c:ext>
            </c:extLst>
          </c:dPt>
          <c:cat>
            <c:strRef>
              <c:f>Sheet3!$A$4:$A$6</c:f>
              <c:strCache>
                <c:ptCount val="2"/>
                <c:pt idx="0">
                  <c:v>Paid</c:v>
                </c:pt>
                <c:pt idx="1">
                  <c:v>Refunded</c:v>
                </c:pt>
              </c:strCache>
            </c:strRef>
          </c:cat>
          <c:val>
            <c:numRef>
              <c:f>Sheet3!$B$4:$B$6</c:f>
              <c:numCache>
                <c:formatCode>General</c:formatCode>
                <c:ptCount val="2"/>
                <c:pt idx="0">
                  <c:v>1</c:v>
                </c:pt>
                <c:pt idx="1">
                  <c:v>1</c:v>
                </c:pt>
              </c:numCache>
            </c:numRef>
          </c:val>
          <c:extLst>
            <c:ext xmlns:c16="http://schemas.microsoft.com/office/drawing/2014/chart" uri="{C3380CC4-5D6E-409C-BE32-E72D297353CC}">
              <c16:uniqueId val="{00000005-6A11-4FFF-A495-4E1797B7E35C}"/>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[retail_orders_cleaned.xlsx]Sheet3!PivotTable1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Paid</c:v>
                </c:pt>
                <c:pt idx="1">
                  <c:v>Refunded</c:v>
                </c:pt>
              </c:strCache>
            </c:strRef>
          </c:cat>
          <c:val>
            <c:numRef>
              <c:f>Sheet3!$B$4:$B$6</c:f>
              <c:numCache>
                <c:formatCode>General</c:formatCode>
                <c:ptCount val="2"/>
                <c:pt idx="0">
                  <c:v>1</c:v>
                </c:pt>
                <c:pt idx="1">
                  <c:v>1</c:v>
                </c:pt>
              </c:numCache>
            </c:numRef>
          </c:val>
          <c:extLst>
            <c:ext xmlns:c16="http://schemas.microsoft.com/office/drawing/2014/chart" uri="{C3380CC4-5D6E-409C-BE32-E72D297353CC}">
              <c16:uniqueId val="{00000000-ECC7-45F1-B5CB-10518540D1B0}"/>
            </c:ext>
          </c:extLst>
        </c:ser>
        <c:dLbls>
          <c:showLegendKey val="0"/>
          <c:showVal val="0"/>
          <c:showCatName val="0"/>
          <c:showSerName val="0"/>
          <c:showPercent val="0"/>
          <c:showBubbleSize val="0"/>
        </c:dLbls>
        <c:gapWidth val="182"/>
        <c:axId val="1785877248"/>
        <c:axId val="1811752624"/>
      </c:barChart>
      <c:catAx>
        <c:axId val="178587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52624"/>
        <c:crosses val="autoZero"/>
        <c:auto val="1"/>
        <c:lblAlgn val="ctr"/>
        <c:lblOffset val="100"/>
        <c:noMultiLvlLbl val="0"/>
      </c:catAx>
      <c:valAx>
        <c:axId val="181175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8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[retail_orders_cleaned.xlsx]Sheet3!PivotTable1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Paid</c:v>
                </c:pt>
                <c:pt idx="1">
                  <c:v>Refunded</c:v>
                </c:pt>
              </c:strCache>
            </c:strRef>
          </c:cat>
          <c:val>
            <c:numRef>
              <c:f>Sheet3!$B$4:$B$6</c:f>
              <c:numCache>
                <c:formatCode>General</c:formatCode>
                <c:ptCount val="2"/>
                <c:pt idx="0">
                  <c:v>1</c:v>
                </c:pt>
                <c:pt idx="1">
                  <c:v>1</c:v>
                </c:pt>
              </c:numCache>
            </c:numRef>
          </c:val>
          <c:extLst>
            <c:ext xmlns:c16="http://schemas.microsoft.com/office/drawing/2014/chart" uri="{C3380CC4-5D6E-409C-BE32-E72D297353CC}">
              <c16:uniqueId val="{00000000-0F8F-410E-B0A0-31F76B5787CD}"/>
            </c:ext>
          </c:extLst>
        </c:ser>
        <c:dLbls>
          <c:showLegendKey val="0"/>
          <c:showVal val="0"/>
          <c:showCatName val="0"/>
          <c:showSerName val="0"/>
          <c:showPercent val="0"/>
          <c:showBubbleSize val="0"/>
        </c:dLbls>
        <c:gapWidth val="219"/>
        <c:overlap val="-27"/>
        <c:axId val="1072178704"/>
        <c:axId val="1811736784"/>
      </c:barChart>
      <c:catAx>
        <c:axId val="107217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36784"/>
        <c:crosses val="autoZero"/>
        <c:auto val="1"/>
        <c:lblAlgn val="ctr"/>
        <c:lblOffset val="100"/>
        <c:noMultiLvlLbl val="0"/>
      </c:catAx>
      <c:valAx>
        <c:axId val="181173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17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[retail_orders_cleaned.xlsx]Sheet3!PivotTable1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doughnutChart>
        <c:varyColors val="1"/>
        <c:ser>
          <c:idx val="0"/>
          <c:order val="0"/>
          <c:tx>
            <c:strRef>
              <c:f>Sheet3!$B$3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3-2568-4AAC-AC3B-ACE2D0EF858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5-2568-4AAC-AC3B-ACE2D0EF858B}"/>
              </c:ext>
            </c:extLst>
          </c:dPt>
          <c:dPt>
            <c:idx val="2"/>
            <c:bubble3D val="0"/>
            <c:extLst>
              <c:ext xmlns:c16="http://schemas.microsoft.com/office/drawing/2014/chart" uri="{C3380CC4-5D6E-409C-BE32-E72D297353CC}">
                <c16:uniqueId val="{00000007-2568-4AAC-AC3B-ACE2D0EF858B}"/>
              </c:ext>
            </c:extLst>
          </c:dPt>
          <c:cat>
            <c:strRef>
              <c:f>Sheet3!$A$4:$A$6</c:f>
              <c:strCache>
                <c:ptCount val="2"/>
                <c:pt idx="0">
                  <c:v>Paid</c:v>
                </c:pt>
                <c:pt idx="1">
                  <c:v>Refunded</c:v>
                </c:pt>
              </c:strCache>
            </c:strRef>
          </c:cat>
          <c:val>
            <c:numRef>
              <c:f>Sheet3!$B$4:$B$6</c:f>
              <c:numCache>
                <c:formatCode>General</c:formatCode>
                <c:ptCount val="2"/>
                <c:pt idx="0">
                  <c:v>1</c:v>
                </c:pt>
                <c:pt idx="1">
                  <c:v>1</c:v>
                </c:pt>
              </c:numCache>
            </c:numRef>
          </c:val>
          <c:extLst>
            <c:ext xmlns:c16="http://schemas.microsoft.com/office/drawing/2014/chart" uri="{C3380CC4-5D6E-409C-BE32-E72D297353CC}">
              <c16:uniqueId val="{00000008-2568-4AAC-AC3B-ACE2D0EF858B}"/>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12</xdr:col>
      <xdr:colOff>7620</xdr:colOff>
      <xdr:row>1</xdr:row>
      <xdr:rowOff>167640</xdr:rowOff>
    </xdr:to>
    <xdr:sp macro="" textlink="">
      <xdr:nvSpPr>
        <xdr:cNvPr id="2" name="TextBox 1">
          <a:extLst>
            <a:ext uri="{FF2B5EF4-FFF2-40B4-BE49-F238E27FC236}">
              <a16:creationId xmlns:a16="http://schemas.microsoft.com/office/drawing/2014/main" id="{047730C4-521E-4D43-A7F4-A1F84849679A}"/>
            </a:ext>
          </a:extLst>
        </xdr:cNvPr>
        <xdr:cNvSpPr txBox="1"/>
      </xdr:nvSpPr>
      <xdr:spPr>
        <a:xfrm>
          <a:off x="3154680" y="0"/>
          <a:ext cx="739902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RABTECH RETAIL ORDERS ANALYSIS DASHBOARD</a:t>
          </a:r>
        </a:p>
      </xdr:txBody>
    </xdr:sp>
    <xdr:clientData/>
  </xdr:twoCellAnchor>
  <xdr:twoCellAnchor>
    <xdr:from>
      <xdr:col>1</xdr:col>
      <xdr:colOff>739140</xdr:colOff>
      <xdr:row>4</xdr:row>
      <xdr:rowOff>7620</xdr:rowOff>
    </xdr:from>
    <xdr:to>
      <xdr:col>9</xdr:col>
      <xdr:colOff>822960</xdr:colOff>
      <xdr:row>24</xdr:row>
      <xdr:rowOff>106680</xdr:rowOff>
    </xdr:to>
    <xdr:graphicFrame macro="">
      <xdr:nvGraphicFramePr>
        <xdr:cNvPr id="3" name="Chart 2">
          <a:extLst>
            <a:ext uri="{FF2B5EF4-FFF2-40B4-BE49-F238E27FC236}">
              <a16:creationId xmlns:a16="http://schemas.microsoft.com/office/drawing/2014/main" id="{3BA4D50F-33AD-4772-8A15-9BC9885C1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4</xdr:row>
      <xdr:rowOff>0</xdr:rowOff>
    </xdr:from>
    <xdr:to>
      <xdr:col>1</xdr:col>
      <xdr:colOff>746760</xdr:colOff>
      <xdr:row>10</xdr:row>
      <xdr:rowOff>114300</xdr:rowOff>
    </xdr:to>
    <mc:AlternateContent xmlns:mc="http://schemas.openxmlformats.org/markup-compatibility/2006" xmlns:a14="http://schemas.microsoft.com/office/drawing/2010/main">
      <mc:Choice Requires="a14">
        <xdr:graphicFrame macro="">
          <xdr:nvGraphicFramePr>
            <xdr:cNvPr id="4" name="customer_segment 2">
              <a:extLst>
                <a:ext uri="{FF2B5EF4-FFF2-40B4-BE49-F238E27FC236}">
                  <a16:creationId xmlns:a16="http://schemas.microsoft.com/office/drawing/2014/main" id="{585D7E9D-EF18-4D6B-9FA2-6295631C9A80}"/>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mlns="">
        <xdr:sp macro="" textlink="">
          <xdr:nvSpPr>
            <xdr:cNvPr id="0" name=""/>
            <xdr:cNvSpPr>
              <a:spLocks noTextEdit="1"/>
            </xdr:cNvSpPr>
          </xdr:nvSpPr>
          <xdr:spPr>
            <a:xfrm>
              <a:off x="15240" y="731520"/>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853440</xdr:colOff>
      <xdr:row>4</xdr:row>
      <xdr:rowOff>0</xdr:rowOff>
    </xdr:from>
    <xdr:to>
      <xdr:col>17</xdr:col>
      <xdr:colOff>472440</xdr:colOff>
      <xdr:row>24</xdr:row>
      <xdr:rowOff>129540</xdr:rowOff>
    </xdr:to>
    <xdr:graphicFrame macro="">
      <xdr:nvGraphicFramePr>
        <xdr:cNvPr id="5" name="Chart 4">
          <a:extLst>
            <a:ext uri="{FF2B5EF4-FFF2-40B4-BE49-F238E27FC236}">
              <a16:creationId xmlns:a16="http://schemas.microsoft.com/office/drawing/2014/main" id="{BC3EDF8C-B8F8-4C5F-9375-2FC86508F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99060</xdr:rowOff>
    </xdr:from>
    <xdr:to>
      <xdr:col>1</xdr:col>
      <xdr:colOff>723900</xdr:colOff>
      <xdr:row>23</xdr:row>
      <xdr:rowOff>99060</xdr:rowOff>
    </xdr:to>
    <xdr:graphicFrame macro="">
      <xdr:nvGraphicFramePr>
        <xdr:cNvPr id="6" name="Chart 5">
          <a:extLst>
            <a:ext uri="{FF2B5EF4-FFF2-40B4-BE49-F238E27FC236}">
              <a16:creationId xmlns:a16="http://schemas.microsoft.com/office/drawing/2014/main" id="{46ADCCB3-B0AC-436F-BD06-7886B6395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xdr:colOff>
      <xdr:row>10</xdr:row>
      <xdr:rowOff>0</xdr:rowOff>
    </xdr:from>
    <xdr:to>
      <xdr:col>12</xdr:col>
      <xdr:colOff>247650</xdr:colOff>
      <xdr:row>20</xdr:row>
      <xdr:rowOff>160020</xdr:rowOff>
    </xdr:to>
    <xdr:graphicFrame macro="">
      <xdr:nvGraphicFramePr>
        <xdr:cNvPr id="2" name="Chart 1">
          <a:extLst>
            <a:ext uri="{FF2B5EF4-FFF2-40B4-BE49-F238E27FC236}">
              <a16:creationId xmlns:a16="http://schemas.microsoft.com/office/drawing/2014/main" id="{99BFF8CF-D13F-4A95-BC77-89A0A712E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24</xdr:row>
      <xdr:rowOff>0</xdr:rowOff>
    </xdr:from>
    <xdr:to>
      <xdr:col>11</xdr:col>
      <xdr:colOff>560070</xdr:colOff>
      <xdr:row>34</xdr:row>
      <xdr:rowOff>129540</xdr:rowOff>
    </xdr:to>
    <xdr:graphicFrame macro="">
      <xdr:nvGraphicFramePr>
        <xdr:cNvPr id="3" name="Chart 2">
          <a:extLst>
            <a:ext uri="{FF2B5EF4-FFF2-40B4-BE49-F238E27FC236}">
              <a16:creationId xmlns:a16="http://schemas.microsoft.com/office/drawing/2014/main" id="{213F4979-6E5D-4F3A-95CA-672CF49C2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37</xdr:row>
      <xdr:rowOff>0</xdr:rowOff>
    </xdr:from>
    <xdr:to>
      <xdr:col>12</xdr:col>
      <xdr:colOff>483870</xdr:colOff>
      <xdr:row>47</xdr:row>
      <xdr:rowOff>129540</xdr:rowOff>
    </xdr:to>
    <xdr:graphicFrame macro="">
      <xdr:nvGraphicFramePr>
        <xdr:cNvPr id="4" name="Chart 3">
          <a:extLst>
            <a:ext uri="{FF2B5EF4-FFF2-40B4-BE49-F238E27FC236}">
              <a16:creationId xmlns:a16="http://schemas.microsoft.com/office/drawing/2014/main" id="{813CFF2C-A46C-44A2-9C32-9817B98DE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10</xdr:row>
      <xdr:rowOff>0</xdr:rowOff>
    </xdr:from>
    <xdr:to>
      <xdr:col>5</xdr:col>
      <xdr:colOff>0</xdr:colOff>
      <xdr:row>23</xdr:row>
      <xdr:rowOff>89535</xdr:rowOff>
    </xdr:to>
    <mc:AlternateContent xmlns:mc="http://schemas.openxmlformats.org/markup-compatibility/2006" xmlns:a14="http://schemas.microsoft.com/office/drawing/2010/main">
      <mc:Choice Requires="a14">
        <xdr:graphicFrame macro="">
          <xdr:nvGraphicFramePr>
            <xdr:cNvPr id="5" name="customer_segment 1">
              <a:extLst>
                <a:ext uri="{FF2B5EF4-FFF2-40B4-BE49-F238E27FC236}">
                  <a16:creationId xmlns:a16="http://schemas.microsoft.com/office/drawing/2014/main" id="{5413E8C8-DCB2-4759-B14F-1A6CE72C0468}"/>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958340" y="1828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Gaikwad" refreshedDate="46256.42152152778" createdVersion="8" refreshedVersion="8" minRefreshableVersion="3" recordCount="7" xr:uid="{10165C9E-61AC-4BD1-9BDF-36D5D5F4D2A4}">
  <cacheSource type="worksheet">
    <worksheetSource ref="A1:L8" sheet="Cleaned Data"/>
  </cacheSource>
  <cacheFields count="12">
    <cacheField name="order_id" numFmtId="0">
      <sharedItems/>
    </cacheField>
    <cacheField name="order_date" numFmtId="0">
      <sharedItems containsNonDate="0" containsDate="1" containsString="0" containsBlank="1" minDate="2026-01-03T00:00:00" maxDate="2026-09-02T00:00:00"/>
    </cacheField>
    <cacheField name="customer_segment" numFmtId="0">
      <sharedItems count="3">
        <s v="Student"/>
        <s v="Fresher"/>
        <s v="Professional"/>
      </sharedItems>
    </cacheField>
    <cacheField name="city" numFmtId="0">
      <sharedItems containsBlank="1" count="6">
        <s v="Chennai"/>
        <s v="Bengaluru"/>
        <s v="Hyderabad"/>
        <m/>
        <s v="Delhi"/>
        <s v="Kochi"/>
      </sharedItems>
    </cacheField>
    <cacheField name="category" numFmtId="0">
      <sharedItems count="3">
        <s v="Learning Kit"/>
        <s v="Course Access"/>
        <s v="Mentor Session"/>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799" maxValue="1499"/>
    </cacheField>
    <cacheField name="discount_pct" numFmtId="0">
      <sharedItems containsSemiMixedTypes="0" containsString="0" containsNumber="1" containsInteger="1" minValue="0" maxValue="15"/>
    </cacheField>
    <cacheField name="payment_status" numFmtId="0">
      <sharedItems count="3">
        <s v="Paid"/>
        <s v="Failed"/>
        <s v="Refunded"/>
      </sharedItems>
    </cacheField>
    <cacheField name="gross_sales" numFmtId="0">
      <sharedItems containsSemiMixedTypes="0" containsString="0" containsNumber="1" containsInteger="1" minValue="799" maxValue="2998"/>
    </cacheField>
    <cacheField name="discount_amount" numFmtId="0">
      <sharedItems containsSemiMixedTypes="0" containsString="0" containsNumber="1" minValue="0" maxValue="449.7"/>
    </cacheField>
    <cacheField name="net_sales" numFmtId="0">
      <sharedItems containsSemiMixedTypes="0" containsString="0" containsNumber="1" minValue="799" maxValue="2548.3000000000002"/>
    </cacheField>
  </cacheFields>
  <extLst>
    <ext xmlns:x14="http://schemas.microsoft.com/office/spreadsheetml/2009/9/main" uri="{725AE2AE-9491-48be-B2B4-4EB974FC3084}">
      <x14:pivotCacheDefinition pivotCacheId="806796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RT-1001"/>
    <d v="2026-03-01T00:00:00"/>
    <x v="0"/>
    <x v="0"/>
    <x v="0"/>
    <n v="2"/>
    <n v="799"/>
    <n v="10"/>
    <x v="0"/>
    <n v="1598"/>
    <n v="159.80000000000001"/>
    <n v="1438.2"/>
  </r>
  <r>
    <s v="RT-1002"/>
    <d v="2026-01-03T00:00:00"/>
    <x v="1"/>
    <x v="1"/>
    <x v="1"/>
    <n v="1"/>
    <n v="1499"/>
    <n v="0"/>
    <x v="0"/>
    <n v="1499"/>
    <n v="0"/>
    <n v="1499"/>
  </r>
  <r>
    <s v="RT-1004"/>
    <d v="2026-07-01T00:00:00"/>
    <x v="2"/>
    <x v="2"/>
    <x v="0"/>
    <n v="3"/>
    <n v="799"/>
    <n v="5"/>
    <x v="0"/>
    <n v="2397"/>
    <n v="119.85"/>
    <n v="2277.15"/>
  </r>
  <r>
    <s v="RT-1005"/>
    <d v="2026-09-01T00:00:00"/>
    <x v="1"/>
    <x v="3"/>
    <x v="2"/>
    <n v="1"/>
    <n v="999"/>
    <n v="0"/>
    <x v="1"/>
    <n v="999"/>
    <n v="0"/>
    <n v="999"/>
  </r>
  <r>
    <s v="RT-1009"/>
    <d v="2026-01-16T00:00:00"/>
    <x v="0"/>
    <x v="0"/>
    <x v="0"/>
    <n v="1"/>
    <n v="799"/>
    <n v="0"/>
    <x v="0"/>
    <n v="799"/>
    <n v="0"/>
    <n v="799"/>
  </r>
  <r>
    <s v="RT-1010"/>
    <d v="2026-01-18T00:00:00"/>
    <x v="2"/>
    <x v="4"/>
    <x v="1"/>
    <n v="2"/>
    <n v="1499"/>
    <n v="15"/>
    <x v="2"/>
    <n v="2998"/>
    <n v="449.7"/>
    <n v="2548.3000000000002"/>
  </r>
  <r>
    <s v="RT-1011"/>
    <m/>
    <x v="0"/>
    <x v="5"/>
    <x v="2"/>
    <n v="1"/>
    <n v="999"/>
    <n v="0"/>
    <x v="0"/>
    <n v="999"/>
    <n v="0"/>
    <n v="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731A9B-D24E-4BC9-B136-7243B9A537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6" firstHeaderRow="1" firstDataRow="1" firstDataCol="1"/>
  <pivotFields count="12">
    <pivotField dataField="1" showAll="0"/>
    <pivotField showAll="0"/>
    <pivotField showAll="0">
      <items count="4">
        <item h="1" x="1"/>
        <item x="2"/>
        <item h="1" x="0"/>
        <item t="default"/>
      </items>
    </pivotField>
    <pivotField showAll="0">
      <items count="7">
        <item x="1"/>
        <item x="0"/>
        <item x="4"/>
        <item x="2"/>
        <item x="5"/>
        <item x="3"/>
        <item t="default"/>
      </items>
    </pivotField>
    <pivotField showAll="0">
      <items count="4">
        <item x="1"/>
        <item x="0"/>
        <item x="2"/>
        <item t="default"/>
      </items>
    </pivotField>
    <pivotField showAll="0"/>
    <pivotField showAll="0"/>
    <pivotField showAll="0"/>
    <pivotField axis="axisRow" showAll="0">
      <items count="4">
        <item x="1"/>
        <item x="0"/>
        <item x="2"/>
        <item t="default"/>
      </items>
    </pivotField>
    <pivotField showAll="0"/>
    <pivotField showAll="0"/>
    <pivotField showAll="0"/>
  </pivotFields>
  <rowFields count="1">
    <field x="8"/>
  </rowFields>
  <rowItems count="3">
    <i>
      <x v="1"/>
    </i>
    <i>
      <x v="2"/>
    </i>
    <i t="grand">
      <x/>
    </i>
  </rowItems>
  <colItems count="1">
    <i/>
  </colItems>
  <dataFields count="1">
    <dataField name="Count of order_id" fld="0" subtotal="count" baseField="0" baseItem="0"/>
  </dataFields>
  <chartFormats count="14">
    <chartFormat chart="8"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8" count="1" selected="0">
            <x v="0"/>
          </reference>
        </references>
      </pivotArea>
    </chartFormat>
    <chartFormat chart="10" format="11">
      <pivotArea type="data" outline="0" fieldPosition="0">
        <references count="2">
          <reference field="4294967294" count="1" selected="0">
            <x v="0"/>
          </reference>
          <reference field="8" count="1" selected="0">
            <x v="1"/>
          </reference>
        </references>
      </pivotArea>
    </chartFormat>
    <chartFormat chart="10" format="12">
      <pivotArea type="data" outline="0" fieldPosition="0">
        <references count="2">
          <reference field="4294967294" count="1" selected="0">
            <x v="0"/>
          </reference>
          <reference field="8" count="1" selected="0">
            <x v="2"/>
          </reference>
        </references>
      </pivotArea>
    </chartFormat>
    <chartFormat chart="17" format="5"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8" count="1" selected="0">
            <x v="0"/>
          </reference>
        </references>
      </pivotArea>
    </chartFormat>
    <chartFormat chart="21" format="18">
      <pivotArea type="data" outline="0" fieldPosition="0">
        <references count="2">
          <reference field="4294967294" count="1" selected="0">
            <x v="0"/>
          </reference>
          <reference field="8" count="1" selected="0">
            <x v="1"/>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6A9DE6-F466-4AA9-A926-828FB81D9B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dataField="1" showAll="0"/>
    <pivotField showAll="0"/>
    <pivotField showAll="0">
      <items count="4">
        <item h="1" x="1"/>
        <item x="2"/>
        <item h="1" x="0"/>
        <item t="default"/>
      </items>
    </pivotField>
    <pivotField showAll="0"/>
    <pivotField showAll="0"/>
    <pivotField dataField="1" showAll="0"/>
    <pivotField showAll="0"/>
    <pivotField showAll="0"/>
    <pivotField showAll="0"/>
    <pivotField showAll="0"/>
    <pivotField showAll="0"/>
    <pivotField dataField="1" showAll="0"/>
  </pivotFields>
  <rowItems count="1">
    <i/>
  </rowItems>
  <colFields count="1">
    <field x="-2"/>
  </colFields>
  <colItems count="4">
    <i>
      <x/>
    </i>
    <i i="1">
      <x v="1"/>
    </i>
    <i i="2">
      <x v="2"/>
    </i>
    <i i="3">
      <x v="3"/>
    </i>
  </colItems>
  <dataFields count="4">
    <dataField name="Count of order_id" fld="0" subtotal="count" baseField="0" baseItem="0"/>
    <dataField name="Sum of quantity" fld="5" baseField="0" baseItem="0"/>
    <dataField name="Sum of net_sales" fld="11" baseField="0" baseItem="0"/>
    <dataField name="Average of net_sales2"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1D9D00-A462-4A41-AE69-8D8670554D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8:B41" firstHeaderRow="1" firstDataRow="1" firstDataCol="1"/>
  <pivotFields count="12">
    <pivotField dataField="1" showAll="0"/>
    <pivotField showAll="0"/>
    <pivotField showAll="0">
      <items count="4">
        <item h="1" x="1"/>
        <item x="2"/>
        <item h="1" x="0"/>
        <item t="default"/>
      </items>
    </pivotField>
    <pivotField showAll="0">
      <items count="7">
        <item x="1"/>
        <item x="0"/>
        <item x="4"/>
        <item x="2"/>
        <item x="5"/>
        <item x="3"/>
        <item t="default"/>
      </items>
    </pivotField>
    <pivotField showAll="0">
      <items count="4">
        <item x="1"/>
        <item x="0"/>
        <item x="2"/>
        <item t="default"/>
      </items>
    </pivotField>
    <pivotField showAll="0"/>
    <pivotField showAll="0"/>
    <pivotField showAll="0"/>
    <pivotField axis="axisRow" showAll="0">
      <items count="4">
        <item x="1"/>
        <item x="0"/>
        <item x="2"/>
        <item t="default"/>
      </items>
    </pivotField>
    <pivotField showAll="0"/>
    <pivotField showAll="0"/>
    <pivotField showAll="0"/>
  </pivotFields>
  <rowFields count="1">
    <field x="8"/>
  </rowFields>
  <rowItems count="3">
    <i>
      <x v="1"/>
    </i>
    <i>
      <x v="2"/>
    </i>
    <i t="grand">
      <x/>
    </i>
  </rowItems>
  <colItems count="1">
    <i/>
  </colItems>
  <dataFields count="1">
    <dataField name="Count of order_id" fld="0" subtotal="count" baseField="0" baseItem="0"/>
  </dataFields>
  <chartFormats count="5">
    <chartFormat chart="8"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D0D800-8981-44B3-AB7B-F213E3E266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B28" firstHeaderRow="1" firstDataRow="1" firstDataCol="1"/>
  <pivotFields count="12">
    <pivotField showAll="0"/>
    <pivotField showAll="0"/>
    <pivotField showAll="0">
      <items count="4">
        <item h="1" x="1"/>
        <item x="2"/>
        <item h="1" x="0"/>
        <item t="default"/>
      </items>
    </pivotField>
    <pivotField showAll="0">
      <items count="7">
        <item x="1"/>
        <item x="0"/>
        <item x="4"/>
        <item x="2"/>
        <item x="5"/>
        <item x="3"/>
        <item t="default"/>
      </items>
    </pivotField>
    <pivotField axis="axisRow" showAll="0">
      <items count="4">
        <item x="1"/>
        <item x="0"/>
        <item x="2"/>
        <item t="default"/>
      </items>
    </pivotField>
    <pivotField showAll="0"/>
    <pivotField showAll="0"/>
    <pivotField showAll="0"/>
    <pivotField showAll="0"/>
    <pivotField showAll="0"/>
    <pivotField showAll="0"/>
    <pivotField dataField="1" showAll="0"/>
  </pivotFields>
  <rowFields count="1">
    <field x="4"/>
  </rowFields>
  <rowItems count="3">
    <i>
      <x/>
    </i>
    <i>
      <x v="1"/>
    </i>
    <i t="grand">
      <x/>
    </i>
  </rowItems>
  <colItems count="1">
    <i/>
  </colItems>
  <dataFields count="1">
    <dataField name="Sum of net_sales" fld="1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652A27-90FF-4C19-9F6C-F373D3241C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15" firstHeaderRow="1" firstDataRow="1" firstDataCol="1"/>
  <pivotFields count="12">
    <pivotField showAll="0"/>
    <pivotField showAll="0"/>
    <pivotField showAll="0">
      <items count="4">
        <item h="1" x="1"/>
        <item x="2"/>
        <item h="1" x="0"/>
        <item t="default"/>
      </items>
    </pivotField>
    <pivotField axis="axisRow" showAll="0">
      <items count="7">
        <item x="1"/>
        <item x="0"/>
        <item x="4"/>
        <item x="2"/>
        <item x="5"/>
        <item x="3"/>
        <item t="default"/>
      </items>
    </pivotField>
    <pivotField showAll="0"/>
    <pivotField showAll="0"/>
    <pivotField showAll="0"/>
    <pivotField showAll="0"/>
    <pivotField showAll="0"/>
    <pivotField showAll="0"/>
    <pivotField showAll="0"/>
    <pivotField dataField="1" showAll="0"/>
  </pivotFields>
  <rowFields count="1">
    <field x="3"/>
  </rowFields>
  <rowItems count="3">
    <i>
      <x v="2"/>
    </i>
    <i>
      <x v="3"/>
    </i>
    <i t="grand">
      <x/>
    </i>
  </rowItems>
  <colItems count="1">
    <i/>
  </colItems>
  <dataFields count="1">
    <dataField name="Sum of net_sales"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62C593D-E09B-4AF9-91CD-1F5FBE67088E}" sourceName="customer_segment">
  <pivotTables>
    <pivotTable tabId="3" name="PivotTable1"/>
    <pivotTable tabId="2" name="PivotTable2"/>
    <pivotTable tabId="2" name="PivotTable3"/>
    <pivotTable tabId="2" name="PivotTable4"/>
    <pivotTable tabId="4" name="PivotTable5"/>
  </pivotTables>
  <data>
    <tabular pivotCacheId="806796731">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2" xr10:uid="{F9A7EEDA-0032-4766-A09F-3AF0F8F6325A}" cache="Slicer_customer_segment"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EE1919AB-2E9A-41E1-88F9-58933058188A}" cache="Slicer_customer_segment" caption="customer_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8B38-D2EF-4DC4-B995-F14DCEDC517C}">
  <dimension ref="A3:B6"/>
  <sheetViews>
    <sheetView workbookViewId="0">
      <selection activeCell="B5" sqref="B5"/>
    </sheetView>
  </sheetViews>
  <sheetFormatPr defaultRowHeight="14.4" x14ac:dyDescent="0.3"/>
  <cols>
    <col min="1" max="1" width="12.5546875" bestFit="1" customWidth="1"/>
    <col min="2" max="3" width="16" bestFit="1" customWidth="1"/>
  </cols>
  <sheetData>
    <row r="3" spans="1:2" x14ac:dyDescent="0.3">
      <c r="A3" s="3" t="s">
        <v>39</v>
      </c>
      <c r="B3" t="s">
        <v>42</v>
      </c>
    </row>
    <row r="4" spans="1:2" x14ac:dyDescent="0.3">
      <c r="A4" s="4" t="s">
        <v>16</v>
      </c>
      <c r="B4" s="5">
        <v>1</v>
      </c>
    </row>
    <row r="5" spans="1:2" x14ac:dyDescent="0.3">
      <c r="A5" s="4" t="s">
        <v>30</v>
      </c>
      <c r="B5" s="5">
        <v>1</v>
      </c>
    </row>
    <row r="6" spans="1:2" x14ac:dyDescent="0.3">
      <c r="A6" s="4" t="s">
        <v>40</v>
      </c>
      <c r="B6" s="5">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D641-36E2-4BA1-9BA8-141FD0EA4A75}">
  <dimension ref="A3:D4"/>
  <sheetViews>
    <sheetView showGridLines="0" workbookViewId="0">
      <selection activeCell="H43" sqref="H43"/>
    </sheetView>
  </sheetViews>
  <sheetFormatPr defaultRowHeight="14.4" x14ac:dyDescent="0.3"/>
  <cols>
    <col min="1" max="1" width="16" bestFit="1" customWidth="1"/>
    <col min="2" max="2" width="14.6640625" bestFit="1" customWidth="1"/>
    <col min="3" max="3" width="15.33203125" bestFit="1" customWidth="1"/>
    <col min="4" max="4" width="19.5546875" bestFit="1" customWidth="1"/>
    <col min="7" max="7" width="15.33203125" bestFit="1" customWidth="1"/>
    <col min="10" max="10" width="19.5546875" bestFit="1" customWidth="1"/>
  </cols>
  <sheetData>
    <row r="3" spans="1:4" x14ac:dyDescent="0.3">
      <c r="A3" t="s">
        <v>42</v>
      </c>
      <c r="B3" t="s">
        <v>43</v>
      </c>
      <c r="C3" t="s">
        <v>41</v>
      </c>
      <c r="D3" t="s">
        <v>44</v>
      </c>
    </row>
    <row r="4" spans="1:4" x14ac:dyDescent="0.3">
      <c r="A4" s="5">
        <v>2</v>
      </c>
      <c r="B4" s="5">
        <v>5</v>
      </c>
      <c r="C4" s="5">
        <v>4825.4500000000007</v>
      </c>
      <c r="D4" s="5">
        <v>2412.7250000000004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2533-B626-4294-B31A-AD460F9C7779}">
  <dimension ref="A1:K9"/>
  <sheetViews>
    <sheetView workbookViewId="0">
      <selection activeCell="D2" sqref="D2"/>
    </sheetView>
  </sheetViews>
  <sheetFormatPr defaultRowHeight="14.4" x14ac:dyDescent="0.3"/>
  <cols>
    <col min="1" max="1" width="20.21875" customWidth="1"/>
    <col min="2" max="2" width="29.88671875" customWidth="1"/>
    <col min="3" max="3" width="23.21875" customWidth="1"/>
    <col min="4" max="4" width="30.88671875" customWidth="1"/>
    <col min="5" max="5" width="22.5546875" customWidth="1"/>
    <col min="6" max="6" width="22.109375" customWidth="1"/>
  </cols>
  <sheetData>
    <row r="1" spans="1:11" x14ac:dyDescent="0.3">
      <c r="A1" s="7" t="s">
        <v>45</v>
      </c>
      <c r="B1" s="7" t="s">
        <v>46</v>
      </c>
      <c r="C1" s="7" t="s">
        <v>47</v>
      </c>
      <c r="D1" s="7" t="s">
        <v>48</v>
      </c>
      <c r="E1" s="7" t="s">
        <v>49</v>
      </c>
      <c r="F1" s="7" t="s">
        <v>50</v>
      </c>
      <c r="G1" s="6"/>
      <c r="H1" s="6"/>
      <c r="I1" s="6"/>
      <c r="J1" s="6"/>
      <c r="K1" s="6"/>
    </row>
    <row r="2" spans="1:11" ht="172.8" x14ac:dyDescent="0.3">
      <c r="A2" s="6" t="s">
        <v>51</v>
      </c>
      <c r="B2" s="6" t="s">
        <v>52</v>
      </c>
      <c r="C2" s="6" t="s">
        <v>53</v>
      </c>
      <c r="D2" s="6" t="s">
        <v>54</v>
      </c>
      <c r="E2" s="6" t="s">
        <v>55</v>
      </c>
      <c r="F2" s="6" t="s">
        <v>56</v>
      </c>
      <c r="G2" s="6"/>
      <c r="H2" s="6"/>
      <c r="I2" s="6"/>
      <c r="J2" s="6"/>
      <c r="K2" s="6"/>
    </row>
    <row r="3" spans="1:11" ht="115.2" x14ac:dyDescent="0.3">
      <c r="A3" s="6" t="s">
        <v>57</v>
      </c>
      <c r="B3" s="6" t="s">
        <v>58</v>
      </c>
      <c r="C3" s="6" t="s">
        <v>0</v>
      </c>
      <c r="D3" s="6" t="s">
        <v>59</v>
      </c>
      <c r="E3" s="6" t="s">
        <v>60</v>
      </c>
      <c r="F3" s="6" t="s">
        <v>61</v>
      </c>
      <c r="G3" s="6"/>
      <c r="H3" s="6"/>
      <c r="I3" s="6"/>
      <c r="J3" s="6"/>
      <c r="K3" s="6"/>
    </row>
    <row r="4" spans="1:11" ht="86.4" x14ac:dyDescent="0.3">
      <c r="A4" s="6" t="s">
        <v>62</v>
      </c>
      <c r="B4" s="6" t="s">
        <v>63</v>
      </c>
      <c r="C4" s="6" t="s">
        <v>5</v>
      </c>
      <c r="D4" s="6" t="s">
        <v>64</v>
      </c>
      <c r="E4" s="6" t="s">
        <v>65</v>
      </c>
      <c r="F4" s="6" t="s">
        <v>66</v>
      </c>
      <c r="G4" s="6"/>
      <c r="H4" s="6"/>
      <c r="I4" s="6"/>
      <c r="J4" s="6"/>
      <c r="K4" s="6"/>
    </row>
    <row r="5" spans="1:11" ht="86.4" x14ac:dyDescent="0.3">
      <c r="A5" s="6" t="s">
        <v>62</v>
      </c>
      <c r="B5" s="6" t="s">
        <v>67</v>
      </c>
      <c r="C5" s="6" t="s">
        <v>6</v>
      </c>
      <c r="D5" s="6" t="s">
        <v>64</v>
      </c>
      <c r="E5" s="6" t="s">
        <v>68</v>
      </c>
      <c r="F5" s="6" t="s">
        <v>66</v>
      </c>
      <c r="G5" s="6"/>
      <c r="H5" s="6"/>
      <c r="I5" s="6"/>
      <c r="J5" s="6"/>
      <c r="K5" s="6"/>
    </row>
    <row r="6" spans="1:11" ht="86.4" x14ac:dyDescent="0.3">
      <c r="A6" s="6" t="s">
        <v>62</v>
      </c>
      <c r="B6" s="6" t="s">
        <v>69</v>
      </c>
      <c r="C6" s="6" t="s">
        <v>7</v>
      </c>
      <c r="D6" s="6" t="s">
        <v>64</v>
      </c>
      <c r="E6" s="6" t="s">
        <v>70</v>
      </c>
      <c r="F6" s="6" t="s">
        <v>71</v>
      </c>
      <c r="G6" s="6"/>
      <c r="H6" s="6"/>
      <c r="I6" s="6"/>
      <c r="J6" s="6"/>
      <c r="K6" s="6"/>
    </row>
    <row r="7" spans="1:11" ht="86.4" x14ac:dyDescent="0.3">
      <c r="A7" s="6" t="s">
        <v>72</v>
      </c>
      <c r="B7" s="6" t="s">
        <v>73</v>
      </c>
      <c r="C7" s="6" t="s">
        <v>2</v>
      </c>
      <c r="D7" s="6" t="s">
        <v>74</v>
      </c>
      <c r="E7" s="6" t="s">
        <v>75</v>
      </c>
      <c r="F7" s="6" t="s">
        <v>76</v>
      </c>
      <c r="G7" s="6"/>
      <c r="H7" s="6"/>
      <c r="I7" s="6"/>
      <c r="J7" s="6"/>
      <c r="K7" s="6"/>
    </row>
    <row r="8" spans="1:11" ht="86.4" x14ac:dyDescent="0.3">
      <c r="A8" s="6" t="s">
        <v>72</v>
      </c>
      <c r="B8" s="6" t="s">
        <v>77</v>
      </c>
      <c r="C8" s="6" t="s">
        <v>8</v>
      </c>
      <c r="D8" s="6" t="s">
        <v>74</v>
      </c>
      <c r="E8" s="6" t="s">
        <v>78</v>
      </c>
      <c r="F8" s="6" t="s">
        <v>79</v>
      </c>
      <c r="G8" s="6"/>
      <c r="H8" s="6"/>
      <c r="I8" s="6"/>
      <c r="J8" s="6"/>
      <c r="K8" s="6"/>
    </row>
    <row r="9" spans="1:11" ht="100.8" x14ac:dyDescent="0.3">
      <c r="A9" s="6" t="s">
        <v>80</v>
      </c>
      <c r="B9" s="6" t="s">
        <v>81</v>
      </c>
      <c r="C9" s="6" t="s">
        <v>1</v>
      </c>
      <c r="D9" s="6" t="s">
        <v>82</v>
      </c>
      <c r="E9" s="6" t="s">
        <v>83</v>
      </c>
      <c r="F9" s="6" t="s">
        <v>84</v>
      </c>
      <c r="G9" s="6"/>
      <c r="H9" s="6"/>
      <c r="I9" s="6"/>
      <c r="J9" s="6"/>
      <c r="K9"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workbookViewId="0">
      <selection activeCell="E6" sqref="E6"/>
    </sheetView>
  </sheetViews>
  <sheetFormatPr defaultRowHeight="14.4" x14ac:dyDescent="0.3"/>
  <cols>
    <col min="2" max="2" width="18.109375" bestFit="1" customWidth="1"/>
    <col min="3" max="3" width="16.6640625" bestFit="1" customWidth="1"/>
    <col min="4" max="4" width="9.77734375" bestFit="1" customWidth="1"/>
    <col min="5" max="5" width="13.6640625" bestFit="1" customWidth="1"/>
    <col min="7" max="7" width="9.109375" bestFit="1" customWidth="1"/>
    <col min="8" max="8" width="11.44140625" bestFit="1" customWidth="1"/>
    <col min="9" max="9" width="14.109375" bestFit="1" customWidth="1"/>
    <col min="10" max="10" width="10.21875" bestFit="1" customWidth="1"/>
    <col min="11" max="11" width="15.33203125" bestFit="1" customWidth="1"/>
    <col min="12" max="12" width="8.66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s="1">
        <v>46082</v>
      </c>
      <c r="C2" t="s">
        <v>13</v>
      </c>
      <c r="D2" t="s">
        <v>14</v>
      </c>
      <c r="E2" t="s">
        <v>15</v>
      </c>
      <c r="F2">
        <v>2</v>
      </c>
      <c r="G2">
        <v>799</v>
      </c>
      <c r="H2">
        <v>10</v>
      </c>
      <c r="I2" t="s">
        <v>16</v>
      </c>
      <c r="J2">
        <v>1598</v>
      </c>
      <c r="K2">
        <v>159.80000000000001</v>
      </c>
      <c r="L2">
        <v>1438.2</v>
      </c>
    </row>
    <row r="3" spans="1:12" x14ac:dyDescent="0.3">
      <c r="A3" t="s">
        <v>17</v>
      </c>
      <c r="B3" s="1">
        <v>46025</v>
      </c>
      <c r="C3" t="s">
        <v>18</v>
      </c>
      <c r="D3" t="s">
        <v>19</v>
      </c>
      <c r="E3" t="s">
        <v>20</v>
      </c>
      <c r="F3">
        <v>1</v>
      </c>
      <c r="G3">
        <v>1499</v>
      </c>
      <c r="H3">
        <v>0</v>
      </c>
      <c r="I3" t="s">
        <v>16</v>
      </c>
      <c r="J3">
        <v>1499</v>
      </c>
      <c r="K3">
        <v>0</v>
      </c>
      <c r="L3">
        <v>1499</v>
      </c>
    </row>
    <row r="4" spans="1:12" x14ac:dyDescent="0.3">
      <c r="A4" t="s">
        <v>21</v>
      </c>
      <c r="B4" s="1">
        <v>46204</v>
      </c>
      <c r="C4" t="s">
        <v>22</v>
      </c>
      <c r="D4" t="s">
        <v>23</v>
      </c>
      <c r="E4" t="s">
        <v>15</v>
      </c>
      <c r="F4">
        <v>3</v>
      </c>
      <c r="G4">
        <v>799</v>
      </c>
      <c r="H4">
        <v>5</v>
      </c>
      <c r="I4" t="s">
        <v>16</v>
      </c>
      <c r="J4">
        <v>2397</v>
      </c>
      <c r="K4">
        <v>119.85</v>
      </c>
      <c r="L4">
        <v>2277.15</v>
      </c>
    </row>
    <row r="5" spans="1:12" x14ac:dyDescent="0.3">
      <c r="A5" t="s">
        <v>24</v>
      </c>
      <c r="B5" s="1">
        <v>46266</v>
      </c>
      <c r="C5" t="s">
        <v>18</v>
      </c>
      <c r="E5" t="s">
        <v>25</v>
      </c>
      <c r="F5">
        <v>1</v>
      </c>
      <c r="G5">
        <v>999</v>
      </c>
      <c r="H5">
        <v>0</v>
      </c>
      <c r="I5" t="s">
        <v>26</v>
      </c>
      <c r="J5">
        <v>999</v>
      </c>
      <c r="K5">
        <v>0</v>
      </c>
      <c r="L5">
        <v>999</v>
      </c>
    </row>
    <row r="6" spans="1:12" x14ac:dyDescent="0.3">
      <c r="A6" t="s">
        <v>27</v>
      </c>
      <c r="B6" s="1">
        <v>46038</v>
      </c>
      <c r="C6" t="s">
        <v>13</v>
      </c>
      <c r="D6" t="s">
        <v>14</v>
      </c>
      <c r="E6" t="s">
        <v>15</v>
      </c>
      <c r="F6">
        <v>1</v>
      </c>
      <c r="G6">
        <v>799</v>
      </c>
      <c r="H6">
        <v>0</v>
      </c>
      <c r="I6" t="s">
        <v>16</v>
      </c>
      <c r="J6">
        <v>799</v>
      </c>
      <c r="K6">
        <v>0</v>
      </c>
      <c r="L6">
        <v>799</v>
      </c>
    </row>
    <row r="7" spans="1:12" x14ac:dyDescent="0.3">
      <c r="A7" t="s">
        <v>28</v>
      </c>
      <c r="B7" s="1">
        <v>46040</v>
      </c>
      <c r="C7" t="s">
        <v>22</v>
      </c>
      <c r="D7" t="s">
        <v>29</v>
      </c>
      <c r="E7" t="s">
        <v>20</v>
      </c>
      <c r="F7">
        <v>2</v>
      </c>
      <c r="G7">
        <v>1499</v>
      </c>
      <c r="H7">
        <v>15</v>
      </c>
      <c r="I7" t="s">
        <v>30</v>
      </c>
      <c r="J7">
        <v>2998</v>
      </c>
      <c r="K7">
        <v>449.7</v>
      </c>
      <c r="L7">
        <v>2548.3000000000002</v>
      </c>
    </row>
    <row r="8" spans="1:12" x14ac:dyDescent="0.3">
      <c r="A8" t="s">
        <v>31</v>
      </c>
      <c r="C8" t="s">
        <v>13</v>
      </c>
      <c r="D8" t="s">
        <v>32</v>
      </c>
      <c r="E8" t="s">
        <v>25</v>
      </c>
      <c r="F8">
        <v>1</v>
      </c>
      <c r="G8">
        <v>999</v>
      </c>
      <c r="H8">
        <v>0</v>
      </c>
      <c r="I8" t="s">
        <v>16</v>
      </c>
      <c r="J8">
        <v>999</v>
      </c>
      <c r="K8">
        <v>0</v>
      </c>
      <c r="L8">
        <v>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0D816-75F8-430F-9CC6-5ACD998802D8}">
  <dimension ref="A1:B41"/>
  <sheetViews>
    <sheetView tabSelected="1" workbookViewId="0">
      <selection activeCell="B2" sqref="B2"/>
    </sheetView>
  </sheetViews>
  <sheetFormatPr defaultRowHeight="14.4" x14ac:dyDescent="0.3"/>
  <cols>
    <col min="1" max="1" width="12.5546875" bestFit="1" customWidth="1"/>
    <col min="2" max="2" width="16" bestFit="1" customWidth="1"/>
  </cols>
  <sheetData>
    <row r="1" spans="1:2" x14ac:dyDescent="0.3">
      <c r="A1" t="s">
        <v>33</v>
      </c>
      <c r="B1" t="s">
        <v>34</v>
      </c>
    </row>
    <row r="2" spans="1:2" x14ac:dyDescent="0.3">
      <c r="A2" t="s">
        <v>35</v>
      </c>
      <c r="B2">
        <f>COUNTA('Cleaned Data'!A2:A1000)</f>
        <v>7</v>
      </c>
    </row>
    <row r="3" spans="1:2" x14ac:dyDescent="0.3">
      <c r="A3" t="s">
        <v>36</v>
      </c>
      <c r="B3">
        <f>SUM('Cleaned Data'!F2:F1000)</f>
        <v>11</v>
      </c>
    </row>
    <row r="4" spans="1:2" x14ac:dyDescent="0.3">
      <c r="A4" t="s">
        <v>37</v>
      </c>
      <c r="B4">
        <f>SUM('Cleaned Data'!L2:L1000)</f>
        <v>10559.650000000001</v>
      </c>
    </row>
    <row r="5" spans="1:2" x14ac:dyDescent="0.3">
      <c r="A5" t="s">
        <v>38</v>
      </c>
      <c r="B5" s="2">
        <f>AVERAGE('Cleaned Data'!L2:L1000)</f>
        <v>1508.5214285714287</v>
      </c>
    </row>
    <row r="12" spans="1:2" x14ac:dyDescent="0.3">
      <c r="A12" s="3" t="s">
        <v>39</v>
      </c>
      <c r="B12" t="s">
        <v>41</v>
      </c>
    </row>
    <row r="13" spans="1:2" x14ac:dyDescent="0.3">
      <c r="A13" s="4" t="s">
        <v>29</v>
      </c>
      <c r="B13" s="5">
        <v>2548.3000000000002</v>
      </c>
    </row>
    <row r="14" spans="1:2" x14ac:dyDescent="0.3">
      <c r="A14" s="4" t="s">
        <v>23</v>
      </c>
      <c r="B14" s="5">
        <v>2277.15</v>
      </c>
    </row>
    <row r="15" spans="1:2" x14ac:dyDescent="0.3">
      <c r="A15" s="4" t="s">
        <v>40</v>
      </c>
      <c r="B15" s="5">
        <v>4825.4500000000007</v>
      </c>
    </row>
    <row r="25" spans="1:2" x14ac:dyDescent="0.3">
      <c r="A25" s="3" t="s">
        <v>39</v>
      </c>
      <c r="B25" t="s">
        <v>41</v>
      </c>
    </row>
    <row r="26" spans="1:2" x14ac:dyDescent="0.3">
      <c r="A26" s="4" t="s">
        <v>20</v>
      </c>
      <c r="B26" s="5">
        <v>2548.3000000000002</v>
      </c>
    </row>
    <row r="27" spans="1:2" x14ac:dyDescent="0.3">
      <c r="A27" s="4" t="s">
        <v>15</v>
      </c>
      <c r="B27" s="5">
        <v>2277.15</v>
      </c>
    </row>
    <row r="28" spans="1:2" x14ac:dyDescent="0.3">
      <c r="A28" s="4" t="s">
        <v>40</v>
      </c>
      <c r="B28" s="5">
        <v>4825.4500000000007</v>
      </c>
    </row>
    <row r="38" spans="1:2" x14ac:dyDescent="0.3">
      <c r="A38" s="3" t="s">
        <v>39</v>
      </c>
      <c r="B38" t="s">
        <v>42</v>
      </c>
    </row>
    <row r="39" spans="1:2" x14ac:dyDescent="0.3">
      <c r="A39" s="4" t="s">
        <v>16</v>
      </c>
      <c r="B39" s="5">
        <v>1</v>
      </c>
    </row>
    <row r="40" spans="1:2" x14ac:dyDescent="0.3">
      <c r="A40" s="4" t="s">
        <v>30</v>
      </c>
      <c r="B40" s="5">
        <v>1</v>
      </c>
    </row>
    <row r="41" spans="1:2" x14ac:dyDescent="0.3">
      <c r="A41" s="4" t="s">
        <v>40</v>
      </c>
      <c r="B41" s="5">
        <v>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KPI_Pivot and Dashbard</vt:lpstr>
      <vt:lpstr>Data Quality Contract</vt:lpstr>
      <vt:lpstr>Cleaned 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Sanika Gaikwad</cp:lastModifiedBy>
  <dcterms:created xsi:type="dcterms:W3CDTF">2026-08-22T04:16:45Z</dcterms:created>
  <dcterms:modified xsi:type="dcterms:W3CDTF">2026-09-14T10:59:57Z</dcterms:modified>
</cp:coreProperties>
</file>